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isk Register" sheetId="2" state="visible" r:id="rId4"/>
    <sheet name="Function Summary" sheetId="3" state="visible" r:id="rId5"/>
    <sheet name="Roadmap" sheetId="4" state="visible" r:id="rId6"/>
  </sheets>
  <definedNames>
    <definedName function="false" hidden="false" localSheetId="1" name="_xlnm.Print_Titles" vbProcedure="false">'Risk Register'!$1:$1</definedName>
    <definedName function="false" hidden="true" localSheetId="1" name="_xlnm._FilterDatabase" vbProcedure="false">'Risk Register'!$A$1:$Q$36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<sst xmlns="http://schemas.openxmlformats.org/spreadsheetml/2006/main" count="501" uniqueCount="229">
  <si>
    <t xml:space="preserve">NIST CSF 2.0 Risk Assessment</t>
  </si>
  <si>
    <t xml:space="preserve">Northbridge Kitchen Supply Co. — Companion Workbook</t>
  </si>
  <si>
    <t xml:space="preserve">Prepared July 2026 · Fictional exercise, built for portfolio purposes</t>
  </si>
  <si>
    <t xml:space="preserve">Fictional company notice</t>
  </si>
  <si>
    <t xml:space="preserve">Northbridge Kitchen Supply Co. is a fictional company invented for this self-directed exercise. No real organization was assessed, and no finding in this workbook describes a real entity or real data.</t>
  </si>
  <si>
    <t xml:space="preserve">What this workbook contains</t>
  </si>
  <si>
    <t xml:space="preserve">Function Summary — the maturity heatmap by CSF Function, matching the executive report.</t>
  </si>
  <si>
    <t xml:space="preserve">Risk Register — all 35 assessed subcategories at full detail: current state, target state, gap, likelihood, impact, risk score, finding, recommendation, owner, and remediation horizon.</t>
  </si>
  <si>
    <t xml:space="preserve">Roadmap — the same 35 actions grouped into 30/90/180-day horizons.</t>
  </si>
  <si>
    <t xml:space="preserve">Scoping approach</t>
  </si>
  <si>
    <t xml:space="preserve">NIST CSF 2.0 defines 106 subcategories across 6 Functions and 22 Categories. Scoring all 106 at full depth isn't realistic for a first-pass assessment, so this exercise selected 35 representative subcategories, weighted proportionally to each Function's share of the full framework — a standard time-boxing approach for an initial assessment.</t>
  </si>
  <si>
    <t xml:space="preserve">Maturity scale (Current State &amp; Target State)</t>
  </si>
  <si>
    <t xml:space="preserve">0 — Not Implemented: no process, control, or practice exists.</t>
  </si>
  <si>
    <t xml:space="preserve">1 — Partially Implemented: informal, inconsistent, or undocumented practice exists.</t>
  </si>
  <si>
    <t xml:space="preserve">2 — Largely Implemented: a defined practice exists and is followed most of the time.</t>
  </si>
  <si>
    <t xml:space="preserve">3 — Fully Implemented: a documented, consistently-followed, and periodically reviewed practice.</t>
  </si>
  <si>
    <t xml:space="preserve">Risk scoring model</t>
  </si>
  <si>
    <t xml:space="preserve">Each gap between Current and Target state is assessed for risk using Likelihood x Impact (1-5 each), producing a Risk Score from 1-25:</t>
  </si>
  <si>
    <t xml:space="preserve">Likelihood (1-5): how probable it is this gap leads to a real security event within the next 12 months.</t>
  </si>
  <si>
    <t xml:space="preserve">Impact (1-5): how severe the consequence would be if it did — financial, operational, legal, or reputational.</t>
  </si>
  <si>
    <t xml:space="preserve">Risk bands: 15-25 = Critical  |  10-14 = High  |  5-9 = Medium  |  1-4 = Low</t>
  </si>
  <si>
    <t xml:space="preserve">Owners</t>
  </si>
  <si>
    <t xml:space="preserve">Every recommendation is assigned to whichever role at a 42-person, no-in-house-security company would realistically execute it: the Ops Manager (who covers IT part-time), the outsourced MSP (helpdesk and technical execution), or Leadership (strategic and policy decisions only leadership can make).</t>
  </si>
  <si>
    <t xml:space="preserve">Source</t>
  </si>
  <si>
    <t xml:space="preserve">Subcategory identifiers and descriptions are drawn from the official NIST CSF 2.0 Core (NIST, published Feb 26, 2024). Current state, target state, likelihood, impact, findings, and recommendations are this assessment's own analysis of the fictional Northbridge environment.</t>
  </si>
  <si>
    <t xml:space="preserve">Function</t>
  </si>
  <si>
    <t xml:space="preserve">Category</t>
  </si>
  <si>
    <t xml:space="preserve">Subcategory ID</t>
  </si>
  <si>
    <t xml:space="preserve">Subcategory Description</t>
  </si>
  <si>
    <t xml:space="preserve">Current State</t>
  </si>
  <si>
    <t xml:space="preserve">Current State Label</t>
  </si>
  <si>
    <t xml:space="preserve">Target State</t>
  </si>
  <si>
    <t xml:space="preserve">Target State Label</t>
  </si>
  <si>
    <t xml:space="preserve">Gap</t>
  </si>
  <si>
    <t xml:space="preserve">Likelihood (1-5)</t>
  </si>
  <si>
    <t xml:space="preserve">Impact (1-5)</t>
  </si>
  <si>
    <t xml:space="preserve">Risk Score</t>
  </si>
  <si>
    <t xml:space="preserve">Risk Band</t>
  </si>
  <si>
    <t xml:space="preserve">Finding</t>
  </si>
  <si>
    <t xml:space="preserve">Recommendation</t>
  </si>
  <si>
    <t xml:space="preserve">Owner</t>
  </si>
  <si>
    <t xml:space="preserve">Horizon (Days)</t>
  </si>
  <si>
    <t xml:space="preserve">Govern</t>
  </si>
  <si>
    <t xml:space="preserve">Organizational Context (GV.OC)</t>
  </si>
  <si>
    <t xml:space="preserve">GV.OC-01</t>
  </si>
  <si>
    <t xml:space="preserve">The organizational mission is understood and informs cybersecurity risk management</t>
  </si>
  <si>
    <t xml:space="preserve">No written statement ties cybersecurity priorities to business objectives, so risk decisions get made ad hoc without a shared reference point.</t>
  </si>
  <si>
    <t xml:space="preserve">Draft a 1-page cybersecurity risk statement tied to business priorities.</t>
  </si>
  <si>
    <t xml:space="preserve">Leadership</t>
  </si>
  <si>
    <t xml:space="preserve">Risk Management Strategy (GV.RM)</t>
  </si>
  <si>
    <t xml:space="preserve">GV.RM-01</t>
  </si>
  <si>
    <t xml:space="preserve">Risk management objectives are established and agreed to by organizational stakeholders</t>
  </si>
  <si>
    <t xml:space="preserve">Leadership has never formally agreed on what level of risk is acceptable for Northbridge, so there's no shared basis for risk decisions.</t>
  </si>
  <si>
    <t xml:space="preserve">Hold a leadership session to agree on 3-5 risk management objectives.</t>
  </si>
  <si>
    <t xml:space="preserve">Roles, Responsibilities, and Authorities (GV.RR)</t>
  </si>
  <si>
    <t xml:space="preserve">GV.RR-01</t>
  </si>
  <si>
    <t xml:space="preserve">Organizational leadership is responsible and accountable for cybersecurity risk and fosters a culture that is risk-aware, ethical, and continually improving</t>
  </si>
  <si>
    <t xml:space="preserve">Nobody has clearly documented who owns cybersecurity. It defaults informally to the Ops Manager without a defined mandate.</t>
  </si>
  <si>
    <t xml:space="preserve">Document a RACI matrix for security tasks across Ops Manager, MSP, and IT contractor.</t>
  </si>
  <si>
    <t xml:space="preserve">Cybersecurity Supply Chain Risk Management (GV.SC)</t>
  </si>
  <si>
    <t xml:space="preserve">GV.SC-01</t>
  </si>
  <si>
    <t xml:space="preserve">A cybersecurity supply chain risk management program, strategy, objectives, policies, and processes are established and agreed to by organizational stakeholders</t>
  </si>
  <si>
    <t xml:space="preserve">No strategy for managing risk from suppliers (3PL, hosting, Salesforce, Stripe) -- Northbridge trusts its vendors by default.</t>
  </si>
  <si>
    <t xml:space="preserve">Build a vendor list with a one-page risk note per supplier.</t>
  </si>
  <si>
    <t xml:space="preserve">Ops Manager</t>
  </si>
  <si>
    <t xml:space="preserve">GV.OC-03</t>
  </si>
  <si>
    <t xml:space="preserve">Legal, regulatory, and contractual requirements regarding cybersecurity -- including privacy and civil liberties obligations -- are understood and managed</t>
  </si>
  <si>
    <t xml:space="preserve">Nobody has catalogued which legal, contractual, or regulatory cybersecurity obligations actually apply (e.g. state breach-notification laws, PCI obligations via Stripe).</t>
  </si>
  <si>
    <t xml:space="preserve">Compile an inventory of regulatory and contractual cybersecurity obligations.</t>
  </si>
  <si>
    <t xml:space="preserve">Policy (GV.PO)</t>
  </si>
  <si>
    <t xml:space="preserve">GV.PO-01</t>
  </si>
  <si>
    <t xml:space="preserve">Policy for managing cybersecurity risks is established based on organizational context, cybersecurity strategy, and priorities and is communicated and enforced</t>
  </si>
  <si>
    <t xml:space="preserve">There's no written acceptable-use or data-handling policy -- expectations for staff exist only informally.</t>
  </si>
  <si>
    <t xml:space="preserve">Adopt and distribute an acceptable-use and data-handling policy.</t>
  </si>
  <si>
    <t xml:space="preserve">GV.SC-04</t>
  </si>
  <si>
    <t xml:space="preserve">Suppliers are known and prioritized by criticality</t>
  </si>
  <si>
    <t xml:space="preserve">Vendors aren't tiered by criticality, so a compromised low-risk tool gets the same lack of scrutiny as Salesforce or Stripe.</t>
  </si>
  <si>
    <t xml:space="preserve">Tier vendors into Critical vs Standard risk.</t>
  </si>
  <si>
    <t xml:space="preserve">GV.RM-03</t>
  </si>
  <si>
    <t xml:space="preserve">Cybersecurity risk management activities and outcomes are included in enterprise risk management processes</t>
  </si>
  <si>
    <t xml:space="preserve">Cybersecurity risk isn't factored into broader business risk conversations -- it lives in its own silo, when it has any home at all.</t>
  </si>
  <si>
    <t xml:space="preserve">Define a written risk tolerance statement so risk decisions have a consistent reference point.</t>
  </si>
  <si>
    <t xml:space="preserve">Oversight (GV.OV)</t>
  </si>
  <si>
    <t xml:space="preserve">GV.OV-01</t>
  </si>
  <si>
    <t xml:space="preserve">Cybersecurity risk management strategy outcomes are reviewed to inform and adjust strategy and direction</t>
  </si>
  <si>
    <t xml:space="preserve">Leadership has no standing review of cybersecurity posture, so nothing prompts a reassessment as the business changes.</t>
  </si>
  <si>
    <t xml:space="preserve">Add a standing leadership review of cybersecurity posture (e.g. quarterly).</t>
  </si>
  <si>
    <t xml:space="preserve">GV.SC-06</t>
  </si>
  <si>
    <t xml:space="preserve">Planning and due diligence are performed to reduce risks before entering into formal supplier or other third-party relationships</t>
  </si>
  <si>
    <t xml:space="preserve">New vendors are onboarded without any cybersecurity due diligence.</t>
  </si>
  <si>
    <t xml:space="preserve">Add a lightweight security questionnaire to vendor onboarding before signing new suppliers.</t>
  </si>
  <si>
    <t xml:space="preserve">Identify</t>
  </si>
  <si>
    <t xml:space="preserve">Asset Management (ID.AM)</t>
  </si>
  <si>
    <t xml:space="preserve">ID.AM-01</t>
  </si>
  <si>
    <t xml:space="preserve">Inventories of hardware managed by the organization are maintained</t>
  </si>
  <si>
    <t xml:space="preserve">Hardware inventory exists only informally through the MSP's ticketing history -- there's no authoritative, current device list.</t>
  </si>
  <si>
    <t xml:space="preserve">Validate a complete hardware asset inventory via the MSP.</t>
  </si>
  <si>
    <t xml:space="preserve">MSP</t>
  </si>
  <si>
    <t xml:space="preserve">ID.AM-02</t>
  </si>
  <si>
    <t xml:space="preserve">Inventories of software, services, and systems managed by the organization are maintained</t>
  </si>
  <si>
    <t xml:space="preserve">No consolidated list of the SaaS applications actually in use (M365, Salesforce, Stripe, WooCommerce, and whatever else staff have signed up for).</t>
  </si>
  <si>
    <t xml:space="preserve">Build a single SaaS application inventory.</t>
  </si>
  <si>
    <t xml:space="preserve">ID.AM-07</t>
  </si>
  <si>
    <t xml:space="preserve">Inventories of data and corresponding metadata for designated data types are maintained</t>
  </si>
  <si>
    <t xml:space="preserve">No inventory of where customer PII and payment data actually lives or flows.</t>
  </si>
  <si>
    <t xml:space="preserve">Map where customer PII and payment data flows end to end.</t>
  </si>
  <si>
    <t xml:space="preserve">Risk Assessment (ID.RA)</t>
  </si>
  <si>
    <t xml:space="preserve">ID.RA-01</t>
  </si>
  <si>
    <t xml:space="preserve">Vulnerabilities in assets are identified, validated, and recorded</t>
  </si>
  <si>
    <t xml:space="preserve">The customer-facing ordering portal has never been vulnerability-scanned.</t>
  </si>
  <si>
    <t xml:space="preserve">Commission a basic external vulnerability scan of the ordering portal.</t>
  </si>
  <si>
    <t xml:space="preserve">ID.RA-05</t>
  </si>
  <si>
    <t xml:space="preserve">Threats, vulnerabilities, likelihoods, and impacts are used to understand inherent risk and inform risk response prioritization</t>
  </si>
  <si>
    <t xml:space="preserve">Even when a gap is found, there's no consistent way to weigh how likely and how damaging it actually is -- prioritization is gut-feel.</t>
  </si>
  <si>
    <t xml:space="preserve">Formally use this year's findings to prioritize next year's risk response, rather than starting from scratch.</t>
  </si>
  <si>
    <t xml:space="preserve">ID.RA-08</t>
  </si>
  <si>
    <t xml:space="preserve">Processes for receiving, analyzing, and responding to vulnerability disclosures are established</t>
  </si>
  <si>
    <t xml:space="preserve">If a security researcher found a flaw in the ordering portal today, there's no published way for them to responsibly report it.</t>
  </si>
  <si>
    <t xml:space="preserve">Publish a responsible-disclosure contact so researchers have a way to report vulnerabilities.</t>
  </si>
  <si>
    <t xml:space="preserve">Improvement (ID.IM)</t>
  </si>
  <si>
    <t xml:space="preserve">ID.IM-01</t>
  </si>
  <si>
    <t xml:space="preserve">Improvements are identified from evaluations</t>
  </si>
  <si>
    <t xml:space="preserve">Nothing captures lessons learned after a near-miss or a vendor's security incident -- the same gaps could resurface unnoticed.</t>
  </si>
  <si>
    <t xml:space="preserve">Make this risk assessment an annual, repeatable process so improvements get tracked year over year.</t>
  </si>
  <si>
    <t xml:space="preserve">Protect</t>
  </si>
  <si>
    <t xml:space="preserve">Identity Management, Authentication, and Access Control (PR.AA)</t>
  </si>
  <si>
    <t xml:space="preserve">PR.AA-01</t>
  </si>
  <si>
    <t xml:space="preserve">Identities and credentials for authorized users, services, and hardware are managed by the organization</t>
  </si>
  <si>
    <t xml:space="preserve">Account and credential management for M365, Salesforce, and the 3PL system relies on default settings rather than a deliberate process -- no consistent on/offboarding discipline.</t>
  </si>
  <si>
    <t xml:space="preserve">Document an offboarding checklist for M365, Salesforce, and 3PL access.</t>
  </si>
  <si>
    <t xml:space="preserve">PR.AA-02</t>
  </si>
  <si>
    <t xml:space="preserve">Identities are proofed and bound to credentials based on the context of interactions</t>
  </si>
  <si>
    <t xml:space="preserve">MFA is not enforced for all M365 accounts, including remote staff.</t>
  </si>
  <si>
    <t xml:space="preserve">Enforce MFA for all M365 accounts via Conditional Access.</t>
  </si>
  <si>
    <t xml:space="preserve">Awareness and Training (PR.AT)</t>
  </si>
  <si>
    <t xml:space="preserve">PR.AT-01</t>
  </si>
  <si>
    <t xml:space="preserve">Personnel are provided with awareness and training so that they possess the knowledge and skills to perform general tasks with security risks in mind</t>
  </si>
  <si>
    <t xml:space="preserve">Staff have never received phishing-awareness training.</t>
  </si>
  <si>
    <t xml:space="preserve">Roll out annual phishing-awareness training to all staff.</t>
  </si>
  <si>
    <t xml:space="preserve">Data Security (PR.DS)</t>
  </si>
  <si>
    <t xml:space="preserve">PR.DS-01</t>
  </si>
  <si>
    <t xml:space="preserve">The confidentiality, integrity, and availability of data-at-rest are protected</t>
  </si>
  <si>
    <t xml:space="preserve">Encryption of stored customer and payment data has never been verified.</t>
  </si>
  <si>
    <t xml:space="preserve">Confirm encryption-at-rest practices with Stripe, the 3PL, and the web host in writing.</t>
  </si>
  <si>
    <t xml:space="preserve">Platform Security (PR.PS)</t>
  </si>
  <si>
    <t xml:space="preserve">PR.PS-01</t>
  </si>
  <si>
    <t xml:space="preserve">Configuration management practices are established and applied</t>
  </si>
  <si>
    <t xml:space="preserve">No confirmed process for keeping the WooCommerce/WordPress portal patched.</t>
  </si>
  <si>
    <t xml:space="preserve">Confirm a monthly patch cadence for the WooCommerce/WordPress portal.</t>
  </si>
  <si>
    <t xml:space="preserve">PR.PS-04</t>
  </si>
  <si>
    <t xml:space="preserve">Log records are generated and made available for continuous monitoring</t>
  </si>
  <si>
    <t xml:space="preserve">It's unclear whether M365 audit logs are enabled and retained long enough to be useful during an investigation.</t>
  </si>
  <si>
    <t xml:space="preserve">Confirm M365 audit logging is enabled and retained 90+ days.</t>
  </si>
  <si>
    <t xml:space="preserve">Technology Infrastructure Resilience (PR.IR)</t>
  </si>
  <si>
    <t xml:space="preserve">PR.IR-04</t>
  </si>
  <si>
    <t xml:space="preserve">Adequate resource capacity to ensure availability is maintained</t>
  </si>
  <si>
    <t xml:space="preserve">Nobody has confirmed the hosting provider's capacity plan -- a traffic spike could take the ordering portal down with no defined response.</t>
  </si>
  <si>
    <t xml:space="preserve">Confirm the hosting provider's SLA and scaling plan can handle a traffic spike or attack.</t>
  </si>
  <si>
    <t xml:space="preserve">Detect</t>
  </si>
  <si>
    <t xml:space="preserve">Continuous Monitoring (DE.CM)</t>
  </si>
  <si>
    <t xml:space="preserve">DE.CM-01</t>
  </si>
  <si>
    <t xml:space="preserve">Networks and network services are monitored to find potentially adverse events</t>
  </si>
  <si>
    <t xml:space="preserve">No monitoring in place to notice a compromise while it's happening.</t>
  </si>
  <si>
    <t xml:space="preserve">Close monitoring gaps with the MSP for adverse-event detection.</t>
  </si>
  <si>
    <t xml:space="preserve">DE.CM-09</t>
  </si>
  <si>
    <t xml:space="preserve">Computing hardware and software, runtime environments, and their data are monitored to find potentially adverse events</t>
  </si>
  <si>
    <t xml:space="preserve">Servers, endpoints, and the applications running on them aren't monitored for the kind of anomalies that would flag a compromise in progress.</t>
  </si>
  <si>
    <t xml:space="preserve">Enable monitoring for unauthorized changes to servers, endpoints, and the software running on them.</t>
  </si>
  <si>
    <t xml:space="preserve">Adverse Event Analysis (DE.AE)</t>
  </si>
  <si>
    <t xml:space="preserve">DE.AE-02</t>
  </si>
  <si>
    <t xml:space="preserve">Potentially adverse events are analyzed to better understand associated activities</t>
  </si>
  <si>
    <t xml:space="preserve">Even if something unusual were noticed, there's no defined way to analyze it and decide whether it's actually a problem.</t>
  </si>
  <si>
    <t xml:space="preserve">Define what counts as an investigable incident and how it gets triaged.</t>
  </si>
  <si>
    <t xml:space="preserve">DE.AE-03</t>
  </si>
  <si>
    <t xml:space="preserve">Information is correlated from multiple sources</t>
  </si>
  <si>
    <t xml:space="preserve">Signals from different systems (M365, the portal, the 3PL) are never correlated, so a coordinated attack could look like several unrelated blips.</t>
  </si>
  <si>
    <t xml:space="preserve">Correlate signals across M365, the portal, and the 3PL so related events aren't missed.</t>
  </si>
  <si>
    <t xml:space="preserve">Respond</t>
  </si>
  <si>
    <t xml:space="preserve">Incident Management (RS.MA)</t>
  </si>
  <si>
    <t xml:space="preserve">RS.MA-01</t>
  </si>
  <si>
    <t xml:space="preserve">The incident response plan is executed in coordination with relevant third parties once an incident is declared</t>
  </si>
  <si>
    <t xml:space="preserve">No written incident response plan exists.</t>
  </si>
  <si>
    <t xml:space="preserve">Draft a 2-page incident response plan.</t>
  </si>
  <si>
    <t xml:space="preserve">Incident Response Reporting and Communication (RS.CO)</t>
  </si>
  <si>
    <t xml:space="preserve">RS.CO-02</t>
  </si>
  <si>
    <t xml:space="preserve">Internal and external stakeholders are notified of incidents</t>
  </si>
  <si>
    <t xml:space="preserve">No process for notifying customers or regulators after a breach.</t>
  </si>
  <si>
    <t xml:space="preserve">Identify breach-notification requirements and add timelines to the IR plan.</t>
  </si>
  <si>
    <t xml:space="preserve">RS.MA-03</t>
  </si>
  <si>
    <t xml:space="preserve">Incidents are categorized and prioritized</t>
  </si>
  <si>
    <t xml:space="preserve">If multiple things went wrong at once, there's no defined way to decide what to tackle first.</t>
  </si>
  <si>
    <t xml:space="preserve">Add severity tiers to the incident response plan so the team knows what to tackle first.</t>
  </si>
  <si>
    <t xml:space="preserve">Incident Mitigation (RS.MI)</t>
  </si>
  <si>
    <t xml:space="preserve">RS.MI-01</t>
  </si>
  <si>
    <t xml:space="preserve">Incidents are contained</t>
  </si>
  <si>
    <t xml:space="preserve">There's no playbook for containing an active incident -- the first response would be improvised.</t>
  </si>
  <si>
    <t xml:space="preserve">Add concrete containment steps to the incident response plan.</t>
  </si>
  <si>
    <t xml:space="preserve">Recover</t>
  </si>
  <si>
    <t xml:space="preserve">Incident Recovery Plan Execution (RC.RP)</t>
  </si>
  <si>
    <t xml:space="preserve">RC.RP-01</t>
  </si>
  <si>
    <t xml:space="preserve">The recovery portion of the incident response plan is executed once initiated from the incident response process</t>
  </si>
  <si>
    <t xml:space="preserve">There's no recovery plan to execute -- Northbridge would be figuring out restoration steps live, during an actual outage.</t>
  </si>
  <si>
    <t xml:space="preserve">Add a recovery plan section to the incident response plan, with clear restoration steps.</t>
  </si>
  <si>
    <t xml:space="preserve">RC.RP-03</t>
  </si>
  <si>
    <t xml:space="preserve">The integrity of backups and other restoration assets is verified before using them for restoration</t>
  </si>
  <si>
    <t xml:space="preserve">Backups may exist through the hosting provider or 3PL, but nobody has ever tested whether they'd actually restore cleanly.</t>
  </si>
  <si>
    <t xml:space="preserve">Test-restore backups at least annually to confirm they actually work.</t>
  </si>
  <si>
    <t xml:space="preserve">Incident Recovery Communication (RC.CO)</t>
  </si>
  <si>
    <t xml:space="preserve">RC.CO-03</t>
  </si>
  <si>
    <t xml:space="preserve">Recovery activities and progress in restoring operational capabilities are communicated to designated internal and external stakeholders</t>
  </si>
  <si>
    <t xml:space="preserve">There's no template for telling customers what's happening during an outage or breach -- messaging would be improvised under pressure.</t>
  </si>
  <si>
    <t xml:space="preserve">Add a customer-facing outage communication template.</t>
  </si>
  <si>
    <t xml:space="preserve">Maturity Heatmap by Function</t>
  </si>
  <si>
    <t xml:space="preserve">All formulas reference the Risk Register tab directly — update a score there and this table recalculates.</t>
  </si>
  <si>
    <t xml:space="preserve">Subcategories</t>
  </si>
  <si>
    <t xml:space="preserve">Avg Current (0-3)</t>
  </si>
  <si>
    <t xml:space="preserve">Avg Target (0-3)</t>
  </si>
  <si>
    <t xml:space="preserve">Critical</t>
  </si>
  <si>
    <t xml:space="preserve">High</t>
  </si>
  <si>
    <t xml:space="preserve">Medium</t>
  </si>
  <si>
    <t xml:space="preserve">Low</t>
  </si>
  <si>
    <t xml:space="preserve">All Functions</t>
  </si>
  <si>
    <t xml:space="preserve">Note: Redder Gap cells = larger distance between current and target maturity. Source: this assessment's Risk Register tab.</t>
  </si>
  <si>
    <t xml:space="preserve">Remediation Roadmap</t>
  </si>
  <si>
    <t xml:space="preserve">Grouped by effort/dependency horizon, not just severity -- matches the executive report.</t>
  </si>
  <si>
    <t xml:space="preserve">Quick Wins — 30 Days  (8 actions)</t>
  </si>
  <si>
    <t xml:space="preserve">ID</t>
  </si>
  <si>
    <t xml:space="preserve">Medium-Term — 90 Days  (12 actions)</t>
  </si>
  <si>
    <t xml:space="preserve">Long-Term — 180 Days  (15 actions)</t>
  </si>
</sst>
</file>

<file path=xl/styles.xml><?xml version="1.0" encoding="utf-8"?>
<styleSheet xmlns="http://schemas.openxmlformats.org/spreadsheetml/2006/main">
  <numFmts count="3">
    <numFmt numFmtId="164" formatCode="General"/>
    <numFmt numFmtId="165" formatCode="General"/>
    <numFmt numFmtId="166" formatCode="0.00"/>
  </numFmts>
  <fonts count="17">
    <font>
      <sz val="11"/>
      <color theme="1"/>
      <name val="Calibri"/>
      <family val="2"/>
      <charset val="1"/>
    </font>
    <font>
      <sz val="10"/>
      <name val="Arial"/>
      <family val="0"/>
    </font>
    <font>
      <sz val="10"/>
      <name val="Arial"/>
      <family val="0"/>
    </font>
    <font>
      <sz val="10"/>
      <name val="Arial"/>
      <family val="0"/>
    </font>
    <font>
      <b val="true"/>
      <sz val="20"/>
      <color rgb="FF0F1C33"/>
      <name val="Arial"/>
      <family val="0"/>
      <charset val="1"/>
    </font>
    <font>
      <b val="true"/>
      <sz val="13"/>
      <color rgb="FFE15241"/>
      <name val="Arial"/>
      <family val="0"/>
      <charset val="1"/>
    </font>
    <font>
      <sz val="10"/>
      <color rgb="FF62708A"/>
      <name val="Arial"/>
      <family val="0"/>
      <charset val="1"/>
    </font>
    <font>
      <b val="true"/>
      <sz val="12"/>
      <color rgb="FF0F1C33"/>
      <name val="Arial"/>
      <family val="0"/>
      <charset val="1"/>
    </font>
    <font>
      <sz val="11"/>
      <color rgb="FF16213A"/>
      <name val="Arial"/>
      <family val="0"/>
      <charset val="1"/>
    </font>
    <font>
      <b val="true"/>
      <sz val="11"/>
      <color rgb="FF16213A"/>
      <name val="Arial"/>
      <family val="0"/>
      <charset val="1"/>
    </font>
    <font>
      <b val="true"/>
      <sz val="10"/>
      <color rgb="FFFFFFFF"/>
      <name val="Arial"/>
      <family val="0"/>
      <charset val="1"/>
    </font>
    <font>
      <sz val="10"/>
      <color rgb="FF16213A"/>
      <name val="Arial"/>
      <family val="0"/>
      <charset val="1"/>
    </font>
    <font>
      <b val="true"/>
      <sz val="15"/>
      <color rgb="FF0F1C33"/>
      <name val="Arial"/>
      <family val="0"/>
      <charset val="1"/>
    </font>
    <font>
      <i val="true"/>
      <sz val="9"/>
      <color rgb="FF62708A"/>
      <name val="Arial"/>
      <family val="0"/>
      <charset val="1"/>
    </font>
    <font>
      <b val="true"/>
      <sz val="12"/>
      <color rgb="FFFFFFFF"/>
      <name val="Arial"/>
      <family val="0"/>
      <charset val="1"/>
    </font>
    <font>
      <b val="true"/>
      <sz val="9"/>
      <color rgb="FF16213A"/>
      <name val="Arial"/>
      <family val="0"/>
      <charset val="1"/>
    </font>
    <font>
      <sz val="9.5"/>
      <color rgb="FF16213A"/>
      <name val="Arial"/>
      <family val="0"/>
      <charset val="1"/>
    </font>
  </fonts>
  <fills count="6">
    <fill>
      <patternFill patternType="none"/>
    </fill>
    <fill>
      <patternFill patternType="gray125"/>
    </fill>
    <fill>
      <patternFill patternType="solid">
        <fgColor rgb="FF0F1C33"/>
        <bgColor rgb="FF16213A"/>
      </patternFill>
    </fill>
    <fill>
      <patternFill patternType="solid">
        <fgColor rgb="FFE15241"/>
        <bgColor rgb="FFB8392C"/>
      </patternFill>
    </fill>
    <fill>
      <patternFill patternType="solid">
        <fgColor rgb="FFF4F6F9"/>
        <bgColor rgb="FFFFFFFF"/>
      </patternFill>
    </fill>
    <fill>
      <patternFill patternType="solid">
        <fgColor rgb="FFE8A33D"/>
        <bgColor rgb="FFFF8080"/>
      </patternFill>
    </fill>
  </fills>
  <borders count="3">
    <border diagonalUp="false" diagonalDown="false">
      <left/>
      <right/>
      <top/>
      <bottom/>
      <diagonal/>
    </border>
    <border diagonalUp="false" diagonalDown="false">
      <left/>
      <right/>
      <top/>
      <bottom style="thin">
        <color rgb="FFCCCCCC"/>
      </bottom>
      <diagonal/>
    </border>
    <border diagonalUp="false" diagonalDown="false">
      <left style="thin">
        <color rgb="FFE3E7EE"/>
      </left>
      <right style="thin">
        <color rgb="FFE3E7EE"/>
      </right>
      <top style="thin">
        <color rgb="FFE3E7EE"/>
      </top>
      <bottom style="thin">
        <color rgb="FFE3E7E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11" fillId="0" borderId="2" xfId="0" applyFont="true" applyBorder="true" applyAlignment="true" applyProtection="false">
      <alignment horizontal="general" vertical="top" textRotation="0" wrapText="false" indent="0" shrinkToFit="false"/>
      <protection locked="true" hidden="false"/>
    </xf>
    <xf numFmtId="164" fontId="11" fillId="0" borderId="2"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left" vertical="center" textRotation="0" wrapText="false" indent="0" shrinkToFit="false"/>
      <protection locked="true" hidden="false"/>
    </xf>
    <xf numFmtId="165" fontId="11" fillId="0" borderId="2" xfId="0" applyFont="true" applyBorder="true" applyAlignment="true" applyProtection="false">
      <alignment horizontal="center" vertical="center" textRotation="0" wrapText="false" indent="0" shrinkToFit="false"/>
      <protection locked="true" hidden="false"/>
    </xf>
    <xf numFmtId="166" fontId="11" fillId="0" borderId="2"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left" vertical="center" textRotation="0" wrapText="false" indent="0" shrinkToFit="false"/>
      <protection locked="true" hidden="false"/>
    </xf>
    <xf numFmtId="165" fontId="10" fillId="2" borderId="2" xfId="0" applyFont="true" applyBorder="true" applyAlignment="true" applyProtection="false">
      <alignment horizontal="center" vertical="center" textRotation="0" wrapText="false" indent="0" shrinkToFit="false"/>
      <protection locked="true" hidden="false"/>
    </xf>
    <xf numFmtId="166" fontId="10" fillId="2"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true" applyAlignment="true" applyProtection="false">
      <alignment horizontal="general" vertical="center" textRotation="0" wrapText="false" indent="1" shrinkToFit="false"/>
      <protection locked="true" hidden="false"/>
    </xf>
    <xf numFmtId="164" fontId="15" fillId="4" borderId="2" xfId="0" applyFont="true" applyBorder="true" applyAlignment="false" applyProtection="false">
      <alignment horizontal="general" vertical="bottom" textRotation="0" wrapText="false" indent="0" shrinkToFit="false"/>
      <protection locked="true" hidden="false"/>
    </xf>
    <xf numFmtId="164" fontId="16" fillId="0" borderId="2" xfId="0" applyFont="true" applyBorder="true" applyAlignment="true" applyProtection="false">
      <alignment horizontal="general" vertical="top" textRotation="0" wrapText="false" indent="0" shrinkToFit="false"/>
      <protection locked="true" hidden="false"/>
    </xf>
    <xf numFmtId="164" fontId="16" fillId="0" borderId="2" xfId="0" applyFont="true" applyBorder="true" applyAlignment="true" applyProtection="false">
      <alignment horizontal="general" vertical="top" textRotation="0" wrapText="true" indent="0" shrinkToFit="false"/>
      <protection locked="true" hidden="false"/>
    </xf>
    <xf numFmtId="164" fontId="14" fillId="5" borderId="0" xfId="0" applyFont="true" applyBorder="true" applyAlignment="true" applyProtection="false">
      <alignment horizontal="general" vertical="center" textRotation="0" wrapText="false" indent="1" shrinkToFit="false"/>
      <protection locked="true" hidden="false"/>
    </xf>
    <xf numFmtId="164" fontId="14" fillId="2" borderId="0" xfId="0" applyFont="true" applyBorder="true" applyAlignment="true" applyProtection="false">
      <alignment horizontal="general"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0F1C33"/>
          <bgColor rgb="FF000000"/>
        </patternFill>
      </fill>
    </dxf>
    <dxf>
      <fill>
        <patternFill patternType="solid">
          <bgColor rgb="FF000000"/>
        </patternFill>
      </fill>
    </dxf>
    <dxf>
      <fill>
        <patternFill patternType="solid">
          <fgColor rgb="FF16213A"/>
          <bgColor rgb="FF000000"/>
        </patternFill>
      </fill>
    </dxf>
    <dxf>
      <fill>
        <patternFill patternType="solid">
          <fgColor rgb="FFFFFFFF"/>
          <bgColor rgb="FF000000"/>
        </patternFill>
      </fill>
    </dxf>
    <dxf>
      <fill>
        <patternFill patternType="solid">
          <fgColor rgb="FFDCF2E3"/>
          <bgColor rgb="FF000000"/>
        </patternFill>
      </fill>
    </dxf>
    <dxf>
      <fill>
        <patternFill patternType="solid">
          <fgColor rgb="FFF9D6D2"/>
          <bgColor rgb="FF000000"/>
        </patternFill>
      </fill>
    </dxf>
    <dxf>
      <fill>
        <patternFill patternType="solid">
          <fgColor rgb="FFFBE6C9"/>
          <bgColor rgb="FF000000"/>
        </patternFill>
      </fill>
    </dxf>
    <dxf>
      <fill>
        <patternFill patternType="solid">
          <fgColor rgb="FFFBF3C7"/>
          <bgColor rgb="FF000000"/>
        </patternFill>
      </fill>
    </dxf>
    <dxf>
      <fill>
        <patternFill patternType="solid">
          <fgColor rgb="FF1F7A4D"/>
          <bgColor rgb="FF000000"/>
        </patternFill>
      </fill>
    </dxf>
    <dxf>
      <fill>
        <patternFill patternType="solid">
          <fgColor rgb="FF8A7000"/>
          <bgColor rgb="FF000000"/>
        </patternFill>
      </fill>
    </dxf>
    <dxf>
      <fill>
        <patternFill patternType="solid">
          <fgColor rgb="FFA05A00"/>
          <bgColor rgb="FF000000"/>
        </patternFill>
      </fill>
    </dxf>
    <dxf>
      <fill>
        <patternFill patternType="solid">
          <fgColor rgb="FFB8392C"/>
          <bgColor rgb="FF000000"/>
        </patternFill>
      </fill>
    </dxf>
    <dxf>
      <font>
        <name val="Arial"/>
        <charset val="1"/>
        <family val="0"/>
        <b val="1"/>
        <color rgb="FFB8392C"/>
      </font>
      <fill>
        <patternFill>
          <bgColor rgb="FFF9D6D2"/>
        </patternFill>
      </fill>
    </dxf>
    <dxf>
      <font>
        <name val="Arial"/>
        <charset val="1"/>
        <family val="0"/>
        <b val="1"/>
        <color rgb="FFA05A00"/>
      </font>
      <fill>
        <patternFill>
          <bgColor rgb="FFFBE6C9"/>
        </patternFill>
      </fill>
    </dxf>
    <dxf>
      <font>
        <name val="Arial"/>
        <charset val="1"/>
        <family val="0"/>
        <b val="1"/>
        <color rgb="FF8A7000"/>
      </font>
      <fill>
        <patternFill>
          <bgColor rgb="FFFBF3C7"/>
        </patternFill>
      </fill>
    </dxf>
    <dxf>
      <font>
        <name val="Arial"/>
        <charset val="1"/>
        <family val="0"/>
        <b val="1"/>
        <color rgb="FF1F7A4D"/>
      </font>
      <fill>
        <patternFill>
          <bgColor rgb="FFDCF2E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7000"/>
      <rgbColor rgb="FF800080"/>
      <rgbColor rgb="FF1F7A4D"/>
      <rgbColor rgb="FFCCCCCC"/>
      <rgbColor rgb="FF808080"/>
      <rgbColor rgb="FF9999FF"/>
      <rgbColor rgb="FFA05A00"/>
      <rgbColor rgb="FFFBF3C7"/>
      <rgbColor rgb="FFE3E7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6F9"/>
      <rgbColor rgb="FFDCF2E3"/>
      <rgbColor rgb="FFFBE6C9"/>
      <rgbColor rgb="FF99CCFF"/>
      <rgbColor rgb="FFFF99CC"/>
      <rgbColor rgb="FFCC99FF"/>
      <rgbColor rgb="FFF9D6D2"/>
      <rgbColor rgb="FF3366FF"/>
      <rgbColor rgb="FF33CCCC"/>
      <rgbColor rgb="FF99CC00"/>
      <rgbColor rgb="FFFFCC00"/>
      <rgbColor rgb="FFE8A33D"/>
      <rgbColor rgb="FFE15241"/>
      <rgbColor rgb="FF62708A"/>
      <rgbColor rgb="FF969696"/>
      <rgbColor rgb="FF0F1C33"/>
      <rgbColor rgb="FF339966"/>
      <rgbColor rgb="FF003300"/>
      <rgbColor rgb="FF333300"/>
      <rgbColor rgb="FFB8392C"/>
      <rgbColor rgb="FF993366"/>
      <rgbColor rgb="FF333399"/>
      <rgbColor rgb="FF1621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24.45" hidden="false" customHeight="false" outlineLevel="0" collapsed="false">
      <c r="B2" s="1" t="s">
        <v>0</v>
      </c>
    </row>
    <row r="3" customFormat="false" ht="16.15" hidden="false" customHeight="false" outlineLevel="0" collapsed="false">
      <c r="B3" s="2" t="s">
        <v>1</v>
      </c>
    </row>
    <row r="5" customFormat="false" ht="15" hidden="false" customHeight="false" outlineLevel="0" collapsed="false">
      <c r="B5" s="3" t="s">
        <v>2</v>
      </c>
    </row>
    <row r="8" customFormat="false" ht="15" hidden="false" customHeight="false" outlineLevel="0" collapsed="false">
      <c r="B8" s="4" t="s">
        <v>3</v>
      </c>
    </row>
    <row r="9" customFormat="false" ht="26.85" hidden="false" customHeight="false" outlineLevel="0" collapsed="false">
      <c r="B9" s="5" t="s">
        <v>4</v>
      </c>
    </row>
    <row r="12" customFormat="false" ht="15" hidden="false" customHeight="false" outlineLevel="0" collapsed="false">
      <c r="B12" s="4" t="s">
        <v>5</v>
      </c>
    </row>
    <row r="13" customFormat="false" ht="15" hidden="false" customHeight="false" outlineLevel="0" collapsed="false">
      <c r="B13" s="5" t="s">
        <v>6</v>
      </c>
    </row>
    <row r="14" customFormat="false" ht="26.85" hidden="false" customHeight="false" outlineLevel="0" collapsed="false">
      <c r="B14" s="5" t="s">
        <v>7</v>
      </c>
    </row>
    <row r="15" customFormat="false" ht="15" hidden="false" customHeight="false" outlineLevel="0" collapsed="false">
      <c r="B15" s="5" t="s">
        <v>8</v>
      </c>
    </row>
    <row r="18" customFormat="false" ht="15" hidden="false" customHeight="false" outlineLevel="0" collapsed="false">
      <c r="B18" s="4" t="s">
        <v>9</v>
      </c>
    </row>
    <row r="19" customFormat="false" ht="52.2" hidden="false" customHeight="false" outlineLevel="0" collapsed="false">
      <c r="B19" s="5" t="s">
        <v>10</v>
      </c>
    </row>
    <row r="22" customFormat="false" ht="15" hidden="false" customHeight="false" outlineLevel="0" collapsed="false">
      <c r="B22" s="4" t="s">
        <v>11</v>
      </c>
    </row>
    <row r="23" customFormat="false" ht="15" hidden="false" customHeight="false" outlineLevel="0" collapsed="false">
      <c r="B23" s="5" t="s">
        <v>12</v>
      </c>
    </row>
    <row r="24" customFormat="false" ht="15" hidden="false" customHeight="false" outlineLevel="0" collapsed="false">
      <c r="B24" s="5" t="s">
        <v>13</v>
      </c>
    </row>
    <row r="25" customFormat="false" ht="15" hidden="false" customHeight="false" outlineLevel="0" collapsed="false">
      <c r="B25" s="5" t="s">
        <v>14</v>
      </c>
    </row>
    <row r="26" customFormat="false" ht="15" hidden="false" customHeight="false" outlineLevel="0" collapsed="false">
      <c r="B26" s="5" t="s">
        <v>15</v>
      </c>
    </row>
    <row r="29" customFormat="false" ht="15" hidden="false" customHeight="false" outlineLevel="0" collapsed="false">
      <c r="B29" s="4" t="s">
        <v>16</v>
      </c>
    </row>
    <row r="30" customFormat="false" ht="26.85" hidden="false" customHeight="false" outlineLevel="0" collapsed="false">
      <c r="B30" s="5" t="s">
        <v>17</v>
      </c>
    </row>
    <row r="31" customFormat="false" ht="15" hidden="false" customHeight="false" outlineLevel="0" collapsed="false">
      <c r="B31" s="5" t="s">
        <v>18</v>
      </c>
    </row>
    <row r="32" customFormat="false" ht="15" hidden="false" customHeight="false" outlineLevel="0" collapsed="false">
      <c r="B32" s="5" t="s">
        <v>19</v>
      </c>
    </row>
    <row r="33" customFormat="false" ht="15" hidden="false" customHeight="false" outlineLevel="0" collapsed="false">
      <c r="B33" s="6" t="s">
        <v>20</v>
      </c>
    </row>
    <row r="36" customFormat="false" ht="15" hidden="false" customHeight="false" outlineLevel="0" collapsed="false">
      <c r="B36" s="4" t="s">
        <v>21</v>
      </c>
    </row>
    <row r="37" customFormat="false" ht="39.55" hidden="false" customHeight="false" outlineLevel="0" collapsed="false">
      <c r="B37" s="5" t="s">
        <v>22</v>
      </c>
    </row>
    <row r="40" customFormat="false" ht="15" hidden="false" customHeight="false" outlineLevel="0" collapsed="false">
      <c r="B40" s="4" t="s">
        <v>23</v>
      </c>
    </row>
    <row r="41" customFormat="false" ht="39.55" hidden="false" customHeight="false" outlineLevel="0" collapsed="false">
      <c r="B41" s="5"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14"/>
    <col collapsed="false" customWidth="true" hidden="false" outlineLevel="0" max="4" min="4" style="0" width="46"/>
    <col collapsed="false" customWidth="true" hidden="false" outlineLevel="0" max="5" min="5" style="0" width="10"/>
    <col collapsed="false" customWidth="true" hidden="false" outlineLevel="0" max="6" min="6" style="0" width="16"/>
    <col collapsed="false" customWidth="true" hidden="false" outlineLevel="0" max="7" min="7" style="0" width="10"/>
    <col collapsed="false" customWidth="true" hidden="false" outlineLevel="0" max="8" min="8" style="0" width="16"/>
    <col collapsed="false" customWidth="true" hidden="false" outlineLevel="0" max="9" min="9" style="0" width="7"/>
    <col collapsed="false" customWidth="true" hidden="false" outlineLevel="0" max="10" min="10" style="0" width="12"/>
    <col collapsed="false" customWidth="true" hidden="false" outlineLevel="0" max="13" min="11" style="0" width="10"/>
    <col collapsed="false" customWidth="true" hidden="false" outlineLevel="0" max="15" min="14" style="0" width="42"/>
    <col collapsed="false" customWidth="true" hidden="false" outlineLevel="0" max="17" min="16" style="0" width="12"/>
  </cols>
  <sheetData>
    <row r="1" customFormat="false" ht="33.75" hidden="false" customHeight="true" outlineLevel="0" collapsed="false">
      <c r="A1" s="7" t="s">
        <v>25</v>
      </c>
      <c r="B1" s="7" t="s">
        <v>26</v>
      </c>
      <c r="C1" s="7" t="s">
        <v>27</v>
      </c>
      <c r="D1" s="7" t="s">
        <v>28</v>
      </c>
      <c r="E1" s="7" t="s">
        <v>29</v>
      </c>
      <c r="F1" s="7" t="s">
        <v>30</v>
      </c>
      <c r="G1" s="7" t="s">
        <v>31</v>
      </c>
      <c r="H1" s="7" t="s">
        <v>32</v>
      </c>
      <c r="I1" s="7" t="s">
        <v>33</v>
      </c>
      <c r="J1" s="7" t="s">
        <v>34</v>
      </c>
      <c r="K1" s="7" t="s">
        <v>35</v>
      </c>
      <c r="L1" s="7" t="s">
        <v>36</v>
      </c>
      <c r="M1" s="7" t="s">
        <v>37</v>
      </c>
      <c r="N1" s="7" t="s">
        <v>38</v>
      </c>
      <c r="O1" s="7" t="s">
        <v>39</v>
      </c>
      <c r="P1" s="7" t="s">
        <v>40</v>
      </c>
      <c r="Q1" s="7" t="s">
        <v>41</v>
      </c>
    </row>
    <row r="2" customFormat="false" ht="35.05" hidden="false" customHeight="false" outlineLevel="0" collapsed="false">
      <c r="A2" s="8" t="s">
        <v>42</v>
      </c>
      <c r="B2" s="8" t="s">
        <v>43</v>
      </c>
      <c r="C2" s="8" t="s">
        <v>44</v>
      </c>
      <c r="D2" s="9" t="s">
        <v>45</v>
      </c>
      <c r="E2" s="8" t="n">
        <v>1</v>
      </c>
      <c r="F2" s="8" t="str">
        <f aca="false">CHOOSE(E2+1,"Not Implemented","Partially Implemented","Largely Implemented","Fully Implemented")</f>
        <v>Partially Implemented</v>
      </c>
      <c r="G2" s="8" t="n">
        <v>2</v>
      </c>
      <c r="H2" s="8" t="str">
        <f aca="false">CHOOSE(G2+1,"Not Implemented","Partially Implemented","Largely Implemented","Fully Implemented")</f>
        <v>Largely Implemented</v>
      </c>
      <c r="I2" s="8" t="n">
        <f aca="false">G2-E2</f>
        <v>1</v>
      </c>
      <c r="J2" s="8" t="n">
        <v>4</v>
      </c>
      <c r="K2" s="8" t="n">
        <v>3</v>
      </c>
      <c r="L2" s="8" t="n">
        <f aca="false">J2*K2</f>
        <v>12</v>
      </c>
      <c r="M2" s="8" t="str">
        <f aca="false">IF(L2&gt;=15,"Critical",IF(L2&gt;=10,"High",IF(L2&gt;=5,"Medium","Low")))</f>
        <v>High</v>
      </c>
      <c r="N2" s="9" t="s">
        <v>46</v>
      </c>
      <c r="O2" s="9" t="s">
        <v>47</v>
      </c>
      <c r="P2" s="8" t="s">
        <v>48</v>
      </c>
      <c r="Q2" s="8" t="n">
        <v>30</v>
      </c>
    </row>
    <row r="3" customFormat="false" ht="35.05" hidden="false" customHeight="false" outlineLevel="0" collapsed="false">
      <c r="A3" s="8" t="s">
        <v>42</v>
      </c>
      <c r="B3" s="8" t="s">
        <v>49</v>
      </c>
      <c r="C3" s="8" t="s">
        <v>50</v>
      </c>
      <c r="D3" s="9" t="s">
        <v>51</v>
      </c>
      <c r="E3" s="8" t="n">
        <v>0</v>
      </c>
      <c r="F3" s="8" t="str">
        <f aca="false">CHOOSE(E3+1,"Not Implemented","Partially Implemented","Largely Implemented","Fully Implemented")</f>
        <v>Not Implemented</v>
      </c>
      <c r="G3" s="8" t="n">
        <v>1</v>
      </c>
      <c r="H3" s="8" t="str">
        <f aca="false">CHOOSE(G3+1,"Not Implemented","Partially Implemented","Largely Implemented","Fully Implemented")</f>
        <v>Partially Implemented</v>
      </c>
      <c r="I3" s="8" t="n">
        <f aca="false">G3-E3</f>
        <v>1</v>
      </c>
      <c r="J3" s="8" t="n">
        <v>3</v>
      </c>
      <c r="K3" s="8" t="n">
        <v>4</v>
      </c>
      <c r="L3" s="8" t="n">
        <f aca="false">J3*K3</f>
        <v>12</v>
      </c>
      <c r="M3" s="8" t="str">
        <f aca="false">IF(L3&gt;=15,"Critical",IF(L3&gt;=10,"High",IF(L3&gt;=5,"Medium","Low")))</f>
        <v>High</v>
      </c>
      <c r="N3" s="9" t="s">
        <v>52</v>
      </c>
      <c r="O3" s="9" t="s">
        <v>53</v>
      </c>
      <c r="P3" s="8" t="s">
        <v>48</v>
      </c>
      <c r="Q3" s="8" t="n">
        <v>30</v>
      </c>
    </row>
    <row r="4" customFormat="false" ht="35.05" hidden="false" customHeight="false" outlineLevel="0" collapsed="false">
      <c r="A4" s="8" t="s">
        <v>42</v>
      </c>
      <c r="B4" s="8" t="s">
        <v>54</v>
      </c>
      <c r="C4" s="8" t="s">
        <v>55</v>
      </c>
      <c r="D4" s="9" t="s">
        <v>56</v>
      </c>
      <c r="E4" s="8" t="n">
        <v>1</v>
      </c>
      <c r="F4" s="8" t="str">
        <f aca="false">CHOOSE(E4+1,"Not Implemented","Partially Implemented","Largely Implemented","Fully Implemented")</f>
        <v>Partially Implemented</v>
      </c>
      <c r="G4" s="8" t="n">
        <v>2</v>
      </c>
      <c r="H4" s="8" t="str">
        <f aca="false">CHOOSE(G4+1,"Not Implemented","Partially Implemented","Largely Implemented","Fully Implemented")</f>
        <v>Largely Implemented</v>
      </c>
      <c r="I4" s="8" t="n">
        <f aca="false">G4-E4</f>
        <v>1</v>
      </c>
      <c r="J4" s="8" t="n">
        <v>3</v>
      </c>
      <c r="K4" s="8" t="n">
        <v>4</v>
      </c>
      <c r="L4" s="8" t="n">
        <f aca="false">J4*K4</f>
        <v>12</v>
      </c>
      <c r="M4" s="8" t="str">
        <f aca="false">IF(L4&gt;=15,"Critical",IF(L4&gt;=10,"High",IF(L4&gt;=5,"Medium","Low")))</f>
        <v>High</v>
      </c>
      <c r="N4" s="9" t="s">
        <v>57</v>
      </c>
      <c r="O4" s="9" t="s">
        <v>58</v>
      </c>
      <c r="P4" s="8" t="s">
        <v>48</v>
      </c>
      <c r="Q4" s="8" t="n">
        <v>30</v>
      </c>
    </row>
    <row r="5" customFormat="false" ht="46.25" hidden="false" customHeight="false" outlineLevel="0" collapsed="false">
      <c r="A5" s="8" t="s">
        <v>42</v>
      </c>
      <c r="B5" s="8" t="s">
        <v>59</v>
      </c>
      <c r="C5" s="8" t="s">
        <v>60</v>
      </c>
      <c r="D5" s="9" t="s">
        <v>61</v>
      </c>
      <c r="E5" s="8" t="n">
        <v>0</v>
      </c>
      <c r="F5" s="8" t="str">
        <f aca="false">CHOOSE(E5+1,"Not Implemented","Partially Implemented","Largely Implemented","Fully Implemented")</f>
        <v>Not Implemented</v>
      </c>
      <c r="G5" s="8" t="n">
        <v>2</v>
      </c>
      <c r="H5" s="8" t="str">
        <f aca="false">CHOOSE(G5+1,"Not Implemented","Partially Implemented","Largely Implemented","Fully Implemented")</f>
        <v>Largely Implemented</v>
      </c>
      <c r="I5" s="8" t="n">
        <f aca="false">G5-E5</f>
        <v>2</v>
      </c>
      <c r="J5" s="8" t="n">
        <v>4</v>
      </c>
      <c r="K5" s="8" t="n">
        <v>4</v>
      </c>
      <c r="L5" s="8" t="n">
        <f aca="false">J5*K5</f>
        <v>16</v>
      </c>
      <c r="M5" s="8" t="str">
        <f aca="false">IF(L5&gt;=15,"Critical",IF(L5&gt;=10,"High",IF(L5&gt;=5,"Medium","Low")))</f>
        <v>Critical</v>
      </c>
      <c r="N5" s="9" t="s">
        <v>62</v>
      </c>
      <c r="O5" s="9" t="s">
        <v>63</v>
      </c>
      <c r="P5" s="8" t="s">
        <v>64</v>
      </c>
      <c r="Q5" s="8" t="n">
        <v>30</v>
      </c>
    </row>
    <row r="6" customFormat="false" ht="46.25" hidden="false" customHeight="false" outlineLevel="0" collapsed="false">
      <c r="A6" s="8" t="s">
        <v>42</v>
      </c>
      <c r="B6" s="8" t="s">
        <v>43</v>
      </c>
      <c r="C6" s="8" t="s">
        <v>65</v>
      </c>
      <c r="D6" s="9" t="s">
        <v>66</v>
      </c>
      <c r="E6" s="8" t="n">
        <v>0</v>
      </c>
      <c r="F6" s="8" t="str">
        <f aca="false">CHOOSE(E6+1,"Not Implemented","Partially Implemented","Largely Implemented","Fully Implemented")</f>
        <v>Not Implemented</v>
      </c>
      <c r="G6" s="8" t="n">
        <v>1</v>
      </c>
      <c r="H6" s="8" t="str">
        <f aca="false">CHOOSE(G6+1,"Not Implemented","Partially Implemented","Largely Implemented","Fully Implemented")</f>
        <v>Partially Implemented</v>
      </c>
      <c r="I6" s="8" t="n">
        <f aca="false">G6-E6</f>
        <v>1</v>
      </c>
      <c r="J6" s="8" t="n">
        <v>3</v>
      </c>
      <c r="K6" s="8" t="n">
        <v>4</v>
      </c>
      <c r="L6" s="8" t="n">
        <f aca="false">J6*K6</f>
        <v>12</v>
      </c>
      <c r="M6" s="8" t="str">
        <f aca="false">IF(L6&gt;=15,"Critical",IF(L6&gt;=10,"High",IF(L6&gt;=5,"Medium","Low")))</f>
        <v>High</v>
      </c>
      <c r="N6" s="9" t="s">
        <v>67</v>
      </c>
      <c r="O6" s="9" t="s">
        <v>68</v>
      </c>
      <c r="P6" s="8" t="s">
        <v>64</v>
      </c>
      <c r="Q6" s="8" t="n">
        <v>90</v>
      </c>
    </row>
    <row r="7" customFormat="false" ht="35.05" hidden="false" customHeight="false" outlineLevel="0" collapsed="false">
      <c r="A7" s="8" t="s">
        <v>42</v>
      </c>
      <c r="B7" s="8" t="s">
        <v>69</v>
      </c>
      <c r="C7" s="8" t="s">
        <v>70</v>
      </c>
      <c r="D7" s="9" t="s">
        <v>71</v>
      </c>
      <c r="E7" s="8" t="n">
        <v>0</v>
      </c>
      <c r="F7" s="8" t="str">
        <f aca="false">CHOOSE(E7+1,"Not Implemented","Partially Implemented","Largely Implemented","Fully Implemented")</f>
        <v>Not Implemented</v>
      </c>
      <c r="G7" s="8" t="n">
        <v>2</v>
      </c>
      <c r="H7" s="8" t="str">
        <f aca="false">CHOOSE(G7+1,"Not Implemented","Partially Implemented","Largely Implemented","Fully Implemented")</f>
        <v>Largely Implemented</v>
      </c>
      <c r="I7" s="8" t="n">
        <f aca="false">G7-E7</f>
        <v>2</v>
      </c>
      <c r="J7" s="8" t="n">
        <v>4</v>
      </c>
      <c r="K7" s="8" t="n">
        <v>3</v>
      </c>
      <c r="L7" s="8" t="n">
        <f aca="false">J7*K7</f>
        <v>12</v>
      </c>
      <c r="M7" s="8" t="str">
        <f aca="false">IF(L7&gt;=15,"Critical",IF(L7&gt;=10,"High",IF(L7&gt;=5,"Medium","Low")))</f>
        <v>High</v>
      </c>
      <c r="N7" s="9" t="s">
        <v>72</v>
      </c>
      <c r="O7" s="9" t="s">
        <v>73</v>
      </c>
      <c r="P7" s="8" t="s">
        <v>48</v>
      </c>
      <c r="Q7" s="8" t="n">
        <v>90</v>
      </c>
    </row>
    <row r="8" customFormat="false" ht="35.05" hidden="false" customHeight="false" outlineLevel="0" collapsed="false">
      <c r="A8" s="8" t="s">
        <v>42</v>
      </c>
      <c r="B8" s="8" t="s">
        <v>59</v>
      </c>
      <c r="C8" s="8" t="s">
        <v>74</v>
      </c>
      <c r="D8" s="9" t="s">
        <v>75</v>
      </c>
      <c r="E8" s="8" t="n">
        <v>0</v>
      </c>
      <c r="F8" s="8" t="str">
        <f aca="false">CHOOSE(E8+1,"Not Implemented","Partially Implemented","Largely Implemented","Fully Implemented")</f>
        <v>Not Implemented</v>
      </c>
      <c r="G8" s="8" t="n">
        <v>1</v>
      </c>
      <c r="H8" s="8" t="str">
        <f aca="false">CHOOSE(G8+1,"Not Implemented","Partially Implemented","Largely Implemented","Fully Implemented")</f>
        <v>Partially Implemented</v>
      </c>
      <c r="I8" s="8" t="n">
        <f aca="false">G8-E8</f>
        <v>1</v>
      </c>
      <c r="J8" s="8" t="n">
        <v>3</v>
      </c>
      <c r="K8" s="8" t="n">
        <v>4</v>
      </c>
      <c r="L8" s="8" t="n">
        <f aca="false">J8*K8</f>
        <v>12</v>
      </c>
      <c r="M8" s="8" t="str">
        <f aca="false">IF(L8&gt;=15,"Critical",IF(L8&gt;=10,"High",IF(L8&gt;=5,"Medium","Low")))</f>
        <v>High</v>
      </c>
      <c r="N8" s="9" t="s">
        <v>76</v>
      </c>
      <c r="O8" s="9" t="s">
        <v>77</v>
      </c>
      <c r="P8" s="8" t="s">
        <v>64</v>
      </c>
      <c r="Q8" s="8" t="n">
        <v>90</v>
      </c>
    </row>
    <row r="9" customFormat="false" ht="35.05" hidden="false" customHeight="false" outlineLevel="0" collapsed="false">
      <c r="A9" s="8" t="s">
        <v>42</v>
      </c>
      <c r="B9" s="8" t="s">
        <v>49</v>
      </c>
      <c r="C9" s="8" t="s">
        <v>78</v>
      </c>
      <c r="D9" s="9" t="s">
        <v>79</v>
      </c>
      <c r="E9" s="8" t="n">
        <v>0</v>
      </c>
      <c r="F9" s="8" t="str">
        <f aca="false">CHOOSE(E9+1,"Not Implemented","Partially Implemented","Largely Implemented","Fully Implemented")</f>
        <v>Not Implemented</v>
      </c>
      <c r="G9" s="8" t="n">
        <v>1</v>
      </c>
      <c r="H9" s="8" t="str">
        <f aca="false">CHOOSE(G9+1,"Not Implemented","Partially Implemented","Largely Implemented","Fully Implemented")</f>
        <v>Partially Implemented</v>
      </c>
      <c r="I9" s="8" t="n">
        <f aca="false">G9-E9</f>
        <v>1</v>
      </c>
      <c r="J9" s="8" t="n">
        <v>2</v>
      </c>
      <c r="K9" s="8" t="n">
        <v>3</v>
      </c>
      <c r="L9" s="8" t="n">
        <f aca="false">J9*K9</f>
        <v>6</v>
      </c>
      <c r="M9" s="8" t="str">
        <f aca="false">IF(L9&gt;=15,"Critical",IF(L9&gt;=10,"High",IF(L9&gt;=5,"Medium","Low")))</f>
        <v>Medium</v>
      </c>
      <c r="N9" s="9" t="s">
        <v>80</v>
      </c>
      <c r="O9" s="9" t="s">
        <v>81</v>
      </c>
      <c r="P9" s="8" t="s">
        <v>48</v>
      </c>
      <c r="Q9" s="8" t="n">
        <v>180</v>
      </c>
    </row>
    <row r="10" customFormat="false" ht="35.05" hidden="false" customHeight="false" outlineLevel="0" collapsed="false">
      <c r="A10" s="8" t="s">
        <v>42</v>
      </c>
      <c r="B10" s="8" t="s">
        <v>82</v>
      </c>
      <c r="C10" s="8" t="s">
        <v>83</v>
      </c>
      <c r="D10" s="9" t="s">
        <v>84</v>
      </c>
      <c r="E10" s="8" t="n">
        <v>0</v>
      </c>
      <c r="F10" s="8" t="str">
        <f aca="false">CHOOSE(E10+1,"Not Implemented","Partially Implemented","Largely Implemented","Fully Implemented")</f>
        <v>Not Implemented</v>
      </c>
      <c r="G10" s="8" t="n">
        <v>1</v>
      </c>
      <c r="H10" s="8" t="str">
        <f aca="false">CHOOSE(G10+1,"Not Implemented","Partially Implemented","Largely Implemented","Fully Implemented")</f>
        <v>Partially Implemented</v>
      </c>
      <c r="I10" s="8" t="n">
        <f aca="false">G10-E10</f>
        <v>1</v>
      </c>
      <c r="J10" s="8" t="n">
        <v>2</v>
      </c>
      <c r="K10" s="8" t="n">
        <v>3</v>
      </c>
      <c r="L10" s="8" t="n">
        <f aca="false">J10*K10</f>
        <v>6</v>
      </c>
      <c r="M10" s="8" t="str">
        <f aca="false">IF(L10&gt;=15,"Critical",IF(L10&gt;=10,"High",IF(L10&gt;=5,"Medium","Low")))</f>
        <v>Medium</v>
      </c>
      <c r="N10" s="9" t="s">
        <v>85</v>
      </c>
      <c r="O10" s="9" t="s">
        <v>86</v>
      </c>
      <c r="P10" s="8" t="s">
        <v>48</v>
      </c>
      <c r="Q10" s="8" t="n">
        <v>180</v>
      </c>
    </row>
    <row r="11" customFormat="false" ht="35.05" hidden="false" customHeight="false" outlineLevel="0" collapsed="false">
      <c r="A11" s="8" t="s">
        <v>42</v>
      </c>
      <c r="B11" s="8" t="s">
        <v>59</v>
      </c>
      <c r="C11" s="8" t="s">
        <v>87</v>
      </c>
      <c r="D11" s="9" t="s">
        <v>88</v>
      </c>
      <c r="E11" s="8" t="n">
        <v>0</v>
      </c>
      <c r="F11" s="8" t="str">
        <f aca="false">CHOOSE(E11+1,"Not Implemented","Partially Implemented","Largely Implemented","Fully Implemented")</f>
        <v>Not Implemented</v>
      </c>
      <c r="G11" s="8" t="n">
        <v>1</v>
      </c>
      <c r="H11" s="8" t="str">
        <f aca="false">CHOOSE(G11+1,"Not Implemented","Partially Implemented","Largely Implemented","Fully Implemented")</f>
        <v>Partially Implemented</v>
      </c>
      <c r="I11" s="8" t="n">
        <f aca="false">G11-E11</f>
        <v>1</v>
      </c>
      <c r="J11" s="8" t="n">
        <v>2</v>
      </c>
      <c r="K11" s="8" t="n">
        <v>2</v>
      </c>
      <c r="L11" s="8" t="n">
        <f aca="false">J11*K11</f>
        <v>4</v>
      </c>
      <c r="M11" s="8" t="str">
        <f aca="false">IF(L11&gt;=15,"Critical",IF(L11&gt;=10,"High",IF(L11&gt;=5,"Medium","Low")))</f>
        <v>Low</v>
      </c>
      <c r="N11" s="9" t="s">
        <v>89</v>
      </c>
      <c r="O11" s="9" t="s">
        <v>90</v>
      </c>
      <c r="P11" s="8" t="s">
        <v>64</v>
      </c>
      <c r="Q11" s="8" t="n">
        <v>180</v>
      </c>
    </row>
    <row r="12" customFormat="false" ht="35.05" hidden="false" customHeight="false" outlineLevel="0" collapsed="false">
      <c r="A12" s="8" t="s">
        <v>91</v>
      </c>
      <c r="B12" s="8" t="s">
        <v>92</v>
      </c>
      <c r="C12" s="8" t="s">
        <v>93</v>
      </c>
      <c r="D12" s="9" t="s">
        <v>94</v>
      </c>
      <c r="E12" s="8" t="n">
        <v>1</v>
      </c>
      <c r="F12" s="8" t="str">
        <f aca="false">CHOOSE(E12+1,"Not Implemented","Partially Implemented","Largely Implemented","Fully Implemented")</f>
        <v>Partially Implemented</v>
      </c>
      <c r="G12" s="8" t="n">
        <v>2</v>
      </c>
      <c r="H12" s="8" t="str">
        <f aca="false">CHOOSE(G12+1,"Not Implemented","Partially Implemented","Largely Implemented","Fully Implemented")</f>
        <v>Largely Implemented</v>
      </c>
      <c r="I12" s="8" t="n">
        <f aca="false">G12-E12</f>
        <v>1</v>
      </c>
      <c r="J12" s="8" t="n">
        <v>3</v>
      </c>
      <c r="K12" s="8" t="n">
        <v>4</v>
      </c>
      <c r="L12" s="8" t="n">
        <f aca="false">J12*K12</f>
        <v>12</v>
      </c>
      <c r="M12" s="8" t="str">
        <f aca="false">IF(L12&gt;=15,"Critical",IF(L12&gt;=10,"High",IF(L12&gt;=5,"Medium","Low")))</f>
        <v>High</v>
      </c>
      <c r="N12" s="9" t="s">
        <v>95</v>
      </c>
      <c r="O12" s="9" t="s">
        <v>96</v>
      </c>
      <c r="P12" s="8" t="s">
        <v>97</v>
      </c>
      <c r="Q12" s="8" t="n">
        <v>90</v>
      </c>
    </row>
    <row r="13" customFormat="false" ht="46.25" hidden="false" customHeight="false" outlineLevel="0" collapsed="false">
      <c r="A13" s="8" t="s">
        <v>91</v>
      </c>
      <c r="B13" s="8" t="s">
        <v>92</v>
      </c>
      <c r="C13" s="8" t="s">
        <v>98</v>
      </c>
      <c r="D13" s="9" t="s">
        <v>99</v>
      </c>
      <c r="E13" s="8" t="n">
        <v>0</v>
      </c>
      <c r="F13" s="8" t="str">
        <f aca="false">CHOOSE(E13+1,"Not Implemented","Partially Implemented","Largely Implemented","Fully Implemented")</f>
        <v>Not Implemented</v>
      </c>
      <c r="G13" s="8" t="n">
        <v>1</v>
      </c>
      <c r="H13" s="8" t="str">
        <f aca="false">CHOOSE(G13+1,"Not Implemented","Partially Implemented","Largely Implemented","Fully Implemented")</f>
        <v>Partially Implemented</v>
      </c>
      <c r="I13" s="8" t="n">
        <f aca="false">G13-E13</f>
        <v>1</v>
      </c>
      <c r="J13" s="8" t="n">
        <v>2</v>
      </c>
      <c r="K13" s="8" t="n">
        <v>3</v>
      </c>
      <c r="L13" s="8" t="n">
        <f aca="false">J13*K13</f>
        <v>6</v>
      </c>
      <c r="M13" s="8" t="str">
        <f aca="false">IF(L13&gt;=15,"Critical",IF(L13&gt;=10,"High",IF(L13&gt;=5,"Medium","Low")))</f>
        <v>Medium</v>
      </c>
      <c r="N13" s="9" t="s">
        <v>100</v>
      </c>
      <c r="O13" s="9" t="s">
        <v>101</v>
      </c>
      <c r="P13" s="8" t="s">
        <v>64</v>
      </c>
      <c r="Q13" s="8" t="n">
        <v>30</v>
      </c>
    </row>
    <row r="14" customFormat="false" ht="23.85" hidden="false" customHeight="false" outlineLevel="0" collapsed="false">
      <c r="A14" s="8" t="s">
        <v>91</v>
      </c>
      <c r="B14" s="8" t="s">
        <v>92</v>
      </c>
      <c r="C14" s="8" t="s">
        <v>102</v>
      </c>
      <c r="D14" s="9" t="s">
        <v>103</v>
      </c>
      <c r="E14" s="8" t="n">
        <v>0</v>
      </c>
      <c r="F14" s="8" t="str">
        <f aca="false">CHOOSE(E14+1,"Not Implemented","Partially Implemented","Largely Implemented","Fully Implemented")</f>
        <v>Not Implemented</v>
      </c>
      <c r="G14" s="8" t="n">
        <v>2</v>
      </c>
      <c r="H14" s="8" t="str">
        <f aca="false">CHOOSE(G14+1,"Not Implemented","Partially Implemented","Largely Implemented","Fully Implemented")</f>
        <v>Largely Implemented</v>
      </c>
      <c r="I14" s="8" t="n">
        <f aca="false">G14-E14</f>
        <v>2</v>
      </c>
      <c r="J14" s="8" t="n">
        <v>4</v>
      </c>
      <c r="K14" s="8" t="n">
        <v>5</v>
      </c>
      <c r="L14" s="8" t="n">
        <f aca="false">J14*K14</f>
        <v>20</v>
      </c>
      <c r="M14" s="8" t="str">
        <f aca="false">IF(L14&gt;=15,"Critical",IF(L14&gt;=10,"High",IF(L14&gt;=5,"Medium","Low")))</f>
        <v>Critical</v>
      </c>
      <c r="N14" s="9" t="s">
        <v>104</v>
      </c>
      <c r="O14" s="9" t="s">
        <v>105</v>
      </c>
      <c r="P14" s="8" t="s">
        <v>64</v>
      </c>
      <c r="Q14" s="8" t="n">
        <v>30</v>
      </c>
    </row>
    <row r="15" customFormat="false" ht="23.85" hidden="false" customHeight="false" outlineLevel="0" collapsed="false">
      <c r="A15" s="8" t="s">
        <v>91</v>
      </c>
      <c r="B15" s="8" t="s">
        <v>106</v>
      </c>
      <c r="C15" s="8" t="s">
        <v>107</v>
      </c>
      <c r="D15" s="9" t="s">
        <v>108</v>
      </c>
      <c r="E15" s="8" t="n">
        <v>0</v>
      </c>
      <c r="F15" s="8" t="str">
        <f aca="false">CHOOSE(E15+1,"Not Implemented","Partially Implemented","Largely Implemented","Fully Implemented")</f>
        <v>Not Implemented</v>
      </c>
      <c r="G15" s="8" t="n">
        <v>2</v>
      </c>
      <c r="H15" s="8" t="str">
        <f aca="false">CHOOSE(G15+1,"Not Implemented","Partially Implemented","Largely Implemented","Fully Implemented")</f>
        <v>Largely Implemented</v>
      </c>
      <c r="I15" s="8" t="n">
        <f aca="false">G15-E15</f>
        <v>2</v>
      </c>
      <c r="J15" s="8" t="n">
        <v>4</v>
      </c>
      <c r="K15" s="8" t="n">
        <v>4</v>
      </c>
      <c r="L15" s="8" t="n">
        <f aca="false">J15*K15</f>
        <v>16</v>
      </c>
      <c r="M15" s="8" t="str">
        <f aca="false">IF(L15&gt;=15,"Critical",IF(L15&gt;=10,"High",IF(L15&gt;=5,"Medium","Low")))</f>
        <v>Critical</v>
      </c>
      <c r="N15" s="9" t="s">
        <v>109</v>
      </c>
      <c r="O15" s="9" t="s">
        <v>110</v>
      </c>
      <c r="P15" s="8" t="s">
        <v>97</v>
      </c>
      <c r="Q15" s="8" t="n">
        <v>90</v>
      </c>
    </row>
    <row r="16" customFormat="false" ht="35.05" hidden="false" customHeight="false" outlineLevel="0" collapsed="false">
      <c r="A16" s="8" t="s">
        <v>91</v>
      </c>
      <c r="B16" s="8" t="s">
        <v>106</v>
      </c>
      <c r="C16" s="8" t="s">
        <v>111</v>
      </c>
      <c r="D16" s="9" t="s">
        <v>112</v>
      </c>
      <c r="E16" s="8" t="n">
        <v>0</v>
      </c>
      <c r="F16" s="8" t="str">
        <f aca="false">CHOOSE(E16+1,"Not Implemented","Partially Implemented","Largely Implemented","Fully Implemented")</f>
        <v>Not Implemented</v>
      </c>
      <c r="G16" s="8" t="n">
        <v>1</v>
      </c>
      <c r="H16" s="8" t="str">
        <f aca="false">CHOOSE(G16+1,"Not Implemented","Partially Implemented","Largely Implemented","Fully Implemented")</f>
        <v>Partially Implemented</v>
      </c>
      <c r="I16" s="8" t="n">
        <f aca="false">G16-E16</f>
        <v>1</v>
      </c>
      <c r="J16" s="8" t="n">
        <v>2</v>
      </c>
      <c r="K16" s="8" t="n">
        <v>2</v>
      </c>
      <c r="L16" s="8" t="n">
        <f aca="false">J16*K16</f>
        <v>4</v>
      </c>
      <c r="M16" s="8" t="str">
        <f aca="false">IF(L16&gt;=15,"Critical",IF(L16&gt;=10,"High",IF(L16&gt;=5,"Medium","Low")))</f>
        <v>Low</v>
      </c>
      <c r="N16" s="9" t="s">
        <v>113</v>
      </c>
      <c r="O16" s="9" t="s">
        <v>114</v>
      </c>
      <c r="P16" s="8" t="s">
        <v>64</v>
      </c>
      <c r="Q16" s="8" t="n">
        <v>180</v>
      </c>
    </row>
    <row r="17" customFormat="false" ht="35.05" hidden="false" customHeight="false" outlineLevel="0" collapsed="false">
      <c r="A17" s="8" t="s">
        <v>91</v>
      </c>
      <c r="B17" s="8" t="s">
        <v>106</v>
      </c>
      <c r="C17" s="8" t="s">
        <v>115</v>
      </c>
      <c r="D17" s="9" t="s">
        <v>116</v>
      </c>
      <c r="E17" s="8" t="n">
        <v>0</v>
      </c>
      <c r="F17" s="8" t="str">
        <f aca="false">CHOOSE(E17+1,"Not Implemented","Partially Implemented","Largely Implemented","Fully Implemented")</f>
        <v>Not Implemented</v>
      </c>
      <c r="G17" s="8" t="n">
        <v>1</v>
      </c>
      <c r="H17" s="8" t="str">
        <f aca="false">CHOOSE(G17+1,"Not Implemented","Partially Implemented","Largely Implemented","Fully Implemented")</f>
        <v>Partially Implemented</v>
      </c>
      <c r="I17" s="8" t="n">
        <f aca="false">G17-E17</f>
        <v>1</v>
      </c>
      <c r="J17" s="8" t="n">
        <v>1</v>
      </c>
      <c r="K17" s="8" t="n">
        <v>3</v>
      </c>
      <c r="L17" s="8" t="n">
        <f aca="false">J17*K17</f>
        <v>3</v>
      </c>
      <c r="M17" s="8" t="str">
        <f aca="false">IF(L17&gt;=15,"Critical",IF(L17&gt;=10,"High",IF(L17&gt;=5,"Medium","Low")))</f>
        <v>Low</v>
      </c>
      <c r="N17" s="9" t="s">
        <v>117</v>
      </c>
      <c r="O17" s="9" t="s">
        <v>118</v>
      </c>
      <c r="P17" s="8" t="s">
        <v>64</v>
      </c>
      <c r="Q17" s="8" t="n">
        <v>180</v>
      </c>
    </row>
    <row r="18" customFormat="false" ht="35.05" hidden="false" customHeight="false" outlineLevel="0" collapsed="false">
      <c r="A18" s="8" t="s">
        <v>91</v>
      </c>
      <c r="B18" s="8" t="s">
        <v>119</v>
      </c>
      <c r="C18" s="8" t="s">
        <v>120</v>
      </c>
      <c r="D18" s="9" t="s">
        <v>121</v>
      </c>
      <c r="E18" s="8" t="n">
        <v>0</v>
      </c>
      <c r="F18" s="8" t="str">
        <f aca="false">CHOOSE(E18+1,"Not Implemented","Partially Implemented","Largely Implemented","Fully Implemented")</f>
        <v>Not Implemented</v>
      </c>
      <c r="G18" s="8" t="n">
        <v>1</v>
      </c>
      <c r="H18" s="8" t="str">
        <f aca="false">CHOOSE(G18+1,"Not Implemented","Partially Implemented","Largely Implemented","Fully Implemented")</f>
        <v>Partially Implemented</v>
      </c>
      <c r="I18" s="8" t="n">
        <f aca="false">G18-E18</f>
        <v>1</v>
      </c>
      <c r="J18" s="8" t="n">
        <v>1</v>
      </c>
      <c r="K18" s="8" t="n">
        <v>2</v>
      </c>
      <c r="L18" s="8" t="n">
        <f aca="false">J18*K18</f>
        <v>2</v>
      </c>
      <c r="M18" s="8" t="str">
        <f aca="false">IF(L18&gt;=15,"Critical",IF(L18&gt;=10,"High",IF(L18&gt;=5,"Medium","Low")))</f>
        <v>Low</v>
      </c>
      <c r="N18" s="9" t="s">
        <v>122</v>
      </c>
      <c r="O18" s="9" t="s">
        <v>123</v>
      </c>
      <c r="P18" s="8" t="s">
        <v>64</v>
      </c>
      <c r="Q18" s="8" t="n">
        <v>180</v>
      </c>
    </row>
    <row r="19" customFormat="false" ht="46.25" hidden="false" customHeight="false" outlineLevel="0" collapsed="false">
      <c r="A19" s="8" t="s">
        <v>124</v>
      </c>
      <c r="B19" s="8" t="s">
        <v>125</v>
      </c>
      <c r="C19" s="8" t="s">
        <v>126</v>
      </c>
      <c r="D19" s="9" t="s">
        <v>127</v>
      </c>
      <c r="E19" s="8" t="n">
        <v>2</v>
      </c>
      <c r="F19" s="8" t="str">
        <f aca="false">CHOOSE(E19+1,"Not Implemented","Partially Implemented","Largely Implemented","Fully Implemented")</f>
        <v>Largely Implemented</v>
      </c>
      <c r="G19" s="8" t="n">
        <v>2</v>
      </c>
      <c r="H19" s="8" t="str">
        <f aca="false">CHOOSE(G19+1,"Not Implemented","Partially Implemented","Largely Implemented","Fully Implemented")</f>
        <v>Largely Implemented</v>
      </c>
      <c r="I19" s="8" t="n">
        <f aca="false">G19-E19</f>
        <v>0</v>
      </c>
      <c r="J19" s="8" t="n">
        <v>4</v>
      </c>
      <c r="K19" s="8" t="n">
        <v>3</v>
      </c>
      <c r="L19" s="8" t="n">
        <f aca="false">J19*K19</f>
        <v>12</v>
      </c>
      <c r="M19" s="8" t="str">
        <f aca="false">IF(L19&gt;=15,"Critical",IF(L19&gt;=10,"High",IF(L19&gt;=5,"Medium","Low")))</f>
        <v>High</v>
      </c>
      <c r="N19" s="9" t="s">
        <v>128</v>
      </c>
      <c r="O19" s="9" t="s">
        <v>129</v>
      </c>
      <c r="P19" s="8" t="s">
        <v>64</v>
      </c>
      <c r="Q19" s="8" t="n">
        <v>30</v>
      </c>
    </row>
    <row r="20" customFormat="false" ht="23.85" hidden="false" customHeight="false" outlineLevel="0" collapsed="false">
      <c r="A20" s="8" t="s">
        <v>124</v>
      </c>
      <c r="B20" s="8" t="s">
        <v>125</v>
      </c>
      <c r="C20" s="8" t="s">
        <v>130</v>
      </c>
      <c r="D20" s="9" t="s">
        <v>131</v>
      </c>
      <c r="E20" s="8" t="n">
        <v>1</v>
      </c>
      <c r="F20" s="8" t="str">
        <f aca="false">CHOOSE(E20+1,"Not Implemented","Partially Implemented","Largely Implemented","Fully Implemented")</f>
        <v>Partially Implemented</v>
      </c>
      <c r="G20" s="8" t="n">
        <v>3</v>
      </c>
      <c r="H20" s="8" t="str">
        <f aca="false">CHOOSE(G20+1,"Not Implemented","Partially Implemented","Largely Implemented","Fully Implemented")</f>
        <v>Fully Implemented</v>
      </c>
      <c r="I20" s="8" t="n">
        <f aca="false">G20-E20</f>
        <v>2</v>
      </c>
      <c r="J20" s="8" t="n">
        <v>4</v>
      </c>
      <c r="K20" s="8" t="n">
        <v>4</v>
      </c>
      <c r="L20" s="8" t="n">
        <f aca="false">J20*K20</f>
        <v>16</v>
      </c>
      <c r="M20" s="8" t="str">
        <f aca="false">IF(L20&gt;=15,"Critical",IF(L20&gt;=10,"High",IF(L20&gt;=5,"Medium","Low")))</f>
        <v>Critical</v>
      </c>
      <c r="N20" s="9" t="s">
        <v>132</v>
      </c>
      <c r="O20" s="9" t="s">
        <v>133</v>
      </c>
      <c r="P20" s="8" t="s">
        <v>97</v>
      </c>
      <c r="Q20" s="8" t="n">
        <v>30</v>
      </c>
    </row>
    <row r="21" customFormat="false" ht="35.05" hidden="false" customHeight="false" outlineLevel="0" collapsed="false">
      <c r="A21" s="8" t="s">
        <v>124</v>
      </c>
      <c r="B21" s="8" t="s">
        <v>134</v>
      </c>
      <c r="C21" s="8" t="s">
        <v>135</v>
      </c>
      <c r="D21" s="9" t="s">
        <v>136</v>
      </c>
      <c r="E21" s="8" t="n">
        <v>0</v>
      </c>
      <c r="F21" s="8" t="str">
        <f aca="false">CHOOSE(E21+1,"Not Implemented","Partially Implemented","Largely Implemented","Fully Implemented")</f>
        <v>Not Implemented</v>
      </c>
      <c r="G21" s="8" t="n">
        <v>2</v>
      </c>
      <c r="H21" s="8" t="str">
        <f aca="false">CHOOSE(G21+1,"Not Implemented","Partially Implemented","Largely Implemented","Fully Implemented")</f>
        <v>Largely Implemented</v>
      </c>
      <c r="I21" s="8" t="n">
        <f aca="false">G21-E21</f>
        <v>2</v>
      </c>
      <c r="J21" s="8" t="n">
        <v>5</v>
      </c>
      <c r="K21" s="8" t="n">
        <v>3</v>
      </c>
      <c r="L21" s="8" t="n">
        <f aca="false">J21*K21</f>
        <v>15</v>
      </c>
      <c r="M21" s="8" t="str">
        <f aca="false">IF(L21&gt;=15,"Critical",IF(L21&gt;=10,"High",IF(L21&gt;=5,"Medium","Low")))</f>
        <v>Critical</v>
      </c>
      <c r="N21" s="9" t="s">
        <v>137</v>
      </c>
      <c r="O21" s="9" t="s">
        <v>138</v>
      </c>
      <c r="P21" s="8" t="s">
        <v>64</v>
      </c>
      <c r="Q21" s="8" t="n">
        <v>90</v>
      </c>
    </row>
    <row r="22" customFormat="false" ht="23.85" hidden="false" customHeight="false" outlineLevel="0" collapsed="false">
      <c r="A22" s="8" t="s">
        <v>124</v>
      </c>
      <c r="B22" s="8" t="s">
        <v>139</v>
      </c>
      <c r="C22" s="8" t="s">
        <v>140</v>
      </c>
      <c r="D22" s="9" t="s">
        <v>141</v>
      </c>
      <c r="E22" s="8" t="n">
        <v>1</v>
      </c>
      <c r="F22" s="8" t="str">
        <f aca="false">CHOOSE(E22+1,"Not Implemented","Partially Implemented","Largely Implemented","Fully Implemented")</f>
        <v>Partially Implemented</v>
      </c>
      <c r="G22" s="8" t="n">
        <v>2</v>
      </c>
      <c r="H22" s="8" t="str">
        <f aca="false">CHOOSE(G22+1,"Not Implemented","Partially Implemented","Largely Implemented","Fully Implemented")</f>
        <v>Largely Implemented</v>
      </c>
      <c r="I22" s="8" t="n">
        <f aca="false">G22-E22</f>
        <v>1</v>
      </c>
      <c r="J22" s="8" t="n">
        <v>3</v>
      </c>
      <c r="K22" s="8" t="n">
        <v>5</v>
      </c>
      <c r="L22" s="8" t="n">
        <f aca="false">J22*K22</f>
        <v>15</v>
      </c>
      <c r="M22" s="8" t="str">
        <f aca="false">IF(L22&gt;=15,"Critical",IF(L22&gt;=10,"High",IF(L22&gt;=5,"Medium","Low")))</f>
        <v>Critical</v>
      </c>
      <c r="N22" s="9" t="s">
        <v>142</v>
      </c>
      <c r="O22" s="9" t="s">
        <v>143</v>
      </c>
      <c r="P22" s="8" t="s">
        <v>97</v>
      </c>
      <c r="Q22" s="8" t="n">
        <v>90</v>
      </c>
    </row>
    <row r="23" customFormat="false" ht="23.85" hidden="false" customHeight="false" outlineLevel="0" collapsed="false">
      <c r="A23" s="8" t="s">
        <v>124</v>
      </c>
      <c r="B23" s="8" t="s">
        <v>144</v>
      </c>
      <c r="C23" s="8" t="s">
        <v>145</v>
      </c>
      <c r="D23" s="9" t="s">
        <v>146</v>
      </c>
      <c r="E23" s="8" t="n">
        <v>0</v>
      </c>
      <c r="F23" s="8" t="str">
        <f aca="false">CHOOSE(E23+1,"Not Implemented","Partially Implemented","Largely Implemented","Fully Implemented")</f>
        <v>Not Implemented</v>
      </c>
      <c r="G23" s="8" t="n">
        <v>2</v>
      </c>
      <c r="H23" s="8" t="str">
        <f aca="false">CHOOSE(G23+1,"Not Implemented","Partially Implemented","Largely Implemented","Fully Implemented")</f>
        <v>Largely Implemented</v>
      </c>
      <c r="I23" s="8" t="n">
        <f aca="false">G23-E23</f>
        <v>2</v>
      </c>
      <c r="J23" s="8" t="n">
        <v>4</v>
      </c>
      <c r="K23" s="8" t="n">
        <v>4</v>
      </c>
      <c r="L23" s="8" t="n">
        <f aca="false">J23*K23</f>
        <v>16</v>
      </c>
      <c r="M23" s="8" t="str">
        <f aca="false">IF(L23&gt;=15,"Critical",IF(L23&gt;=10,"High",IF(L23&gt;=5,"Medium","Low")))</f>
        <v>Critical</v>
      </c>
      <c r="N23" s="9" t="s">
        <v>147</v>
      </c>
      <c r="O23" s="9" t="s">
        <v>148</v>
      </c>
      <c r="P23" s="8" t="s">
        <v>97</v>
      </c>
      <c r="Q23" s="8" t="n">
        <v>90</v>
      </c>
    </row>
    <row r="24" customFormat="false" ht="35.05" hidden="false" customHeight="false" outlineLevel="0" collapsed="false">
      <c r="A24" s="8" t="s">
        <v>124</v>
      </c>
      <c r="B24" s="8" t="s">
        <v>144</v>
      </c>
      <c r="C24" s="8" t="s">
        <v>149</v>
      </c>
      <c r="D24" s="9" t="s">
        <v>150</v>
      </c>
      <c r="E24" s="8" t="n">
        <v>1</v>
      </c>
      <c r="F24" s="8" t="str">
        <f aca="false">CHOOSE(E24+1,"Not Implemented","Partially Implemented","Largely Implemented","Fully Implemented")</f>
        <v>Partially Implemented</v>
      </c>
      <c r="G24" s="8" t="n">
        <v>2</v>
      </c>
      <c r="H24" s="8" t="str">
        <f aca="false">CHOOSE(G24+1,"Not Implemented","Partially Implemented","Largely Implemented","Fully Implemented")</f>
        <v>Largely Implemented</v>
      </c>
      <c r="I24" s="8" t="n">
        <f aca="false">G24-E24</f>
        <v>1</v>
      </c>
      <c r="J24" s="8" t="n">
        <v>3</v>
      </c>
      <c r="K24" s="8" t="n">
        <v>3</v>
      </c>
      <c r="L24" s="8" t="n">
        <f aca="false">J24*K24</f>
        <v>9</v>
      </c>
      <c r="M24" s="8" t="str">
        <f aca="false">IF(L24&gt;=15,"Critical",IF(L24&gt;=10,"High",IF(L24&gt;=5,"Medium","Low")))</f>
        <v>Medium</v>
      </c>
      <c r="N24" s="9" t="s">
        <v>151</v>
      </c>
      <c r="O24" s="9" t="s">
        <v>152</v>
      </c>
      <c r="P24" s="8" t="s">
        <v>97</v>
      </c>
      <c r="Q24" s="8" t="n">
        <v>90</v>
      </c>
    </row>
    <row r="25" customFormat="false" ht="35.05" hidden="false" customHeight="false" outlineLevel="0" collapsed="false">
      <c r="A25" s="8" t="s">
        <v>124</v>
      </c>
      <c r="B25" s="8" t="s">
        <v>153</v>
      </c>
      <c r="C25" s="8" t="s">
        <v>154</v>
      </c>
      <c r="D25" s="9" t="s">
        <v>155</v>
      </c>
      <c r="E25" s="8" t="n">
        <v>0</v>
      </c>
      <c r="F25" s="8" t="str">
        <f aca="false">CHOOSE(E25+1,"Not Implemented","Partially Implemented","Largely Implemented","Fully Implemented")</f>
        <v>Not Implemented</v>
      </c>
      <c r="G25" s="8" t="n">
        <v>1</v>
      </c>
      <c r="H25" s="8" t="str">
        <f aca="false">CHOOSE(G25+1,"Not Implemented","Partially Implemented","Largely Implemented","Fully Implemented")</f>
        <v>Partially Implemented</v>
      </c>
      <c r="I25" s="8" t="n">
        <f aca="false">G25-E25</f>
        <v>1</v>
      </c>
      <c r="J25" s="8" t="n">
        <v>2</v>
      </c>
      <c r="K25" s="8" t="n">
        <v>2</v>
      </c>
      <c r="L25" s="8" t="n">
        <f aca="false">J25*K25</f>
        <v>4</v>
      </c>
      <c r="M25" s="8" t="str">
        <f aca="false">IF(L25&gt;=15,"Critical",IF(L25&gt;=10,"High",IF(L25&gt;=5,"Medium","Low")))</f>
        <v>Low</v>
      </c>
      <c r="N25" s="9" t="s">
        <v>156</v>
      </c>
      <c r="O25" s="9" t="s">
        <v>157</v>
      </c>
      <c r="P25" s="8" t="s">
        <v>97</v>
      </c>
      <c r="Q25" s="8" t="n">
        <v>180</v>
      </c>
    </row>
    <row r="26" customFormat="false" ht="23.85" hidden="false" customHeight="false" outlineLevel="0" collapsed="false">
      <c r="A26" s="8" t="s">
        <v>158</v>
      </c>
      <c r="B26" s="8" t="s">
        <v>159</v>
      </c>
      <c r="C26" s="8" t="s">
        <v>160</v>
      </c>
      <c r="D26" s="9" t="s">
        <v>161</v>
      </c>
      <c r="E26" s="8" t="n">
        <v>0</v>
      </c>
      <c r="F26" s="8" t="str">
        <f aca="false">CHOOSE(E26+1,"Not Implemented","Partially Implemented","Largely Implemented","Fully Implemented")</f>
        <v>Not Implemented</v>
      </c>
      <c r="G26" s="8" t="n">
        <v>1</v>
      </c>
      <c r="H26" s="8" t="str">
        <f aca="false">CHOOSE(G26+1,"Not Implemented","Partially Implemented","Largely Implemented","Fully Implemented")</f>
        <v>Partially Implemented</v>
      </c>
      <c r="I26" s="8" t="n">
        <f aca="false">G26-E26</f>
        <v>1</v>
      </c>
      <c r="J26" s="8" t="n">
        <v>4</v>
      </c>
      <c r="K26" s="8" t="n">
        <v>4</v>
      </c>
      <c r="L26" s="8" t="n">
        <f aca="false">J26*K26</f>
        <v>16</v>
      </c>
      <c r="M26" s="8" t="str">
        <f aca="false">IF(L26&gt;=15,"Critical",IF(L26&gt;=10,"High",IF(L26&gt;=5,"Medium","Low")))</f>
        <v>Critical</v>
      </c>
      <c r="N26" s="9" t="s">
        <v>162</v>
      </c>
      <c r="O26" s="9" t="s">
        <v>163</v>
      </c>
      <c r="P26" s="8" t="s">
        <v>97</v>
      </c>
      <c r="Q26" s="8" t="n">
        <v>90</v>
      </c>
    </row>
    <row r="27" customFormat="false" ht="35.05" hidden="false" customHeight="false" outlineLevel="0" collapsed="false">
      <c r="A27" s="8" t="s">
        <v>158</v>
      </c>
      <c r="B27" s="8" t="s">
        <v>159</v>
      </c>
      <c r="C27" s="8" t="s">
        <v>164</v>
      </c>
      <c r="D27" s="9" t="s">
        <v>165</v>
      </c>
      <c r="E27" s="8" t="n">
        <v>0</v>
      </c>
      <c r="F27" s="8" t="str">
        <f aca="false">CHOOSE(E27+1,"Not Implemented","Partially Implemented","Largely Implemented","Fully Implemented")</f>
        <v>Not Implemented</v>
      </c>
      <c r="G27" s="8" t="n">
        <v>1</v>
      </c>
      <c r="H27" s="8" t="str">
        <f aca="false">CHOOSE(G27+1,"Not Implemented","Partially Implemented","Largely Implemented","Fully Implemented")</f>
        <v>Partially Implemented</v>
      </c>
      <c r="I27" s="8" t="n">
        <f aca="false">G27-E27</f>
        <v>1</v>
      </c>
      <c r="J27" s="8" t="n">
        <v>3</v>
      </c>
      <c r="K27" s="8" t="n">
        <v>3</v>
      </c>
      <c r="L27" s="8" t="n">
        <f aca="false">J27*K27</f>
        <v>9</v>
      </c>
      <c r="M27" s="8" t="str">
        <f aca="false">IF(L27&gt;=15,"Critical",IF(L27&gt;=10,"High",IF(L27&gt;=5,"Medium","Low")))</f>
        <v>Medium</v>
      </c>
      <c r="N27" s="9" t="s">
        <v>166</v>
      </c>
      <c r="O27" s="9" t="s">
        <v>167</v>
      </c>
      <c r="P27" s="8" t="s">
        <v>97</v>
      </c>
      <c r="Q27" s="8" t="n">
        <v>180</v>
      </c>
    </row>
    <row r="28" customFormat="false" ht="35.05" hidden="false" customHeight="false" outlineLevel="0" collapsed="false">
      <c r="A28" s="8" t="s">
        <v>158</v>
      </c>
      <c r="B28" s="8" t="s">
        <v>168</v>
      </c>
      <c r="C28" s="8" t="s">
        <v>169</v>
      </c>
      <c r="D28" s="9" t="s">
        <v>170</v>
      </c>
      <c r="E28" s="8" t="n">
        <v>0</v>
      </c>
      <c r="F28" s="8" t="str">
        <f aca="false">CHOOSE(E28+1,"Not Implemented","Partially Implemented","Largely Implemented","Fully Implemented")</f>
        <v>Not Implemented</v>
      </c>
      <c r="G28" s="8" t="n">
        <v>1</v>
      </c>
      <c r="H28" s="8" t="str">
        <f aca="false">CHOOSE(G28+1,"Not Implemented","Partially Implemented","Largely Implemented","Fully Implemented")</f>
        <v>Partially Implemented</v>
      </c>
      <c r="I28" s="8" t="n">
        <f aca="false">G28-E28</f>
        <v>1</v>
      </c>
      <c r="J28" s="8" t="n">
        <v>2</v>
      </c>
      <c r="K28" s="8" t="n">
        <v>2</v>
      </c>
      <c r="L28" s="8" t="n">
        <f aca="false">J28*K28</f>
        <v>4</v>
      </c>
      <c r="M28" s="8" t="str">
        <f aca="false">IF(L28&gt;=15,"Critical",IF(L28&gt;=10,"High",IF(L28&gt;=5,"Medium","Low")))</f>
        <v>Low</v>
      </c>
      <c r="N28" s="9" t="s">
        <v>171</v>
      </c>
      <c r="O28" s="9" t="s">
        <v>172</v>
      </c>
      <c r="P28" s="8" t="s">
        <v>97</v>
      </c>
      <c r="Q28" s="8" t="n">
        <v>180</v>
      </c>
    </row>
    <row r="29" customFormat="false" ht="35.05" hidden="false" customHeight="false" outlineLevel="0" collapsed="false">
      <c r="A29" s="8" t="s">
        <v>158</v>
      </c>
      <c r="B29" s="8" t="s">
        <v>168</v>
      </c>
      <c r="C29" s="8" t="s">
        <v>173</v>
      </c>
      <c r="D29" s="9" t="s">
        <v>174</v>
      </c>
      <c r="E29" s="8" t="n">
        <v>0</v>
      </c>
      <c r="F29" s="8" t="str">
        <f aca="false">CHOOSE(E29+1,"Not Implemented","Partially Implemented","Largely Implemented","Fully Implemented")</f>
        <v>Not Implemented</v>
      </c>
      <c r="G29" s="8" t="n">
        <v>1</v>
      </c>
      <c r="H29" s="8" t="str">
        <f aca="false">CHOOSE(G29+1,"Not Implemented","Partially Implemented","Largely Implemented","Fully Implemented")</f>
        <v>Partially Implemented</v>
      </c>
      <c r="I29" s="8" t="n">
        <f aca="false">G29-E29</f>
        <v>1</v>
      </c>
      <c r="J29" s="8" t="n">
        <v>2</v>
      </c>
      <c r="K29" s="8" t="n">
        <v>2</v>
      </c>
      <c r="L29" s="8" t="n">
        <f aca="false">J29*K29</f>
        <v>4</v>
      </c>
      <c r="M29" s="8" t="str">
        <f aca="false">IF(L29&gt;=15,"Critical",IF(L29&gt;=10,"High",IF(L29&gt;=5,"Medium","Low")))</f>
        <v>Low</v>
      </c>
      <c r="N29" s="9" t="s">
        <v>175</v>
      </c>
      <c r="O29" s="9" t="s">
        <v>176</v>
      </c>
      <c r="P29" s="8" t="s">
        <v>97</v>
      </c>
      <c r="Q29" s="8" t="n">
        <v>180</v>
      </c>
    </row>
    <row r="30" customFormat="false" ht="23.85" hidden="false" customHeight="false" outlineLevel="0" collapsed="false">
      <c r="A30" s="8" t="s">
        <v>177</v>
      </c>
      <c r="B30" s="8" t="s">
        <v>178</v>
      </c>
      <c r="C30" s="8" t="s">
        <v>179</v>
      </c>
      <c r="D30" s="9" t="s">
        <v>180</v>
      </c>
      <c r="E30" s="8" t="n">
        <v>0</v>
      </c>
      <c r="F30" s="8" t="str">
        <f aca="false">CHOOSE(E30+1,"Not Implemented","Partially Implemented","Largely Implemented","Fully Implemented")</f>
        <v>Not Implemented</v>
      </c>
      <c r="G30" s="8" t="n">
        <v>2</v>
      </c>
      <c r="H30" s="8" t="str">
        <f aca="false">CHOOSE(G30+1,"Not Implemented","Partially Implemented","Largely Implemented","Fully Implemented")</f>
        <v>Largely Implemented</v>
      </c>
      <c r="I30" s="8" t="n">
        <f aca="false">G30-E30</f>
        <v>2</v>
      </c>
      <c r="J30" s="8" t="n">
        <v>5</v>
      </c>
      <c r="K30" s="8" t="n">
        <v>3</v>
      </c>
      <c r="L30" s="8" t="n">
        <f aca="false">J30*K30</f>
        <v>15</v>
      </c>
      <c r="M30" s="8" t="str">
        <f aca="false">IF(L30&gt;=15,"Critical",IF(L30&gt;=10,"High",IF(L30&gt;=5,"Medium","Low")))</f>
        <v>Critical</v>
      </c>
      <c r="N30" s="9" t="s">
        <v>181</v>
      </c>
      <c r="O30" s="9" t="s">
        <v>182</v>
      </c>
      <c r="P30" s="8" t="s">
        <v>64</v>
      </c>
      <c r="Q30" s="8" t="n">
        <v>90</v>
      </c>
    </row>
    <row r="31" customFormat="false" ht="23.85" hidden="false" customHeight="false" outlineLevel="0" collapsed="false">
      <c r="A31" s="8" t="s">
        <v>177</v>
      </c>
      <c r="B31" s="8" t="s">
        <v>183</v>
      </c>
      <c r="C31" s="8" t="s">
        <v>184</v>
      </c>
      <c r="D31" s="9" t="s">
        <v>185</v>
      </c>
      <c r="E31" s="8" t="n">
        <v>0</v>
      </c>
      <c r="F31" s="8" t="str">
        <f aca="false">CHOOSE(E31+1,"Not Implemented","Partially Implemented","Largely Implemented","Fully Implemented")</f>
        <v>Not Implemented</v>
      </c>
      <c r="G31" s="8" t="n">
        <v>2</v>
      </c>
      <c r="H31" s="8" t="str">
        <f aca="false">CHOOSE(G31+1,"Not Implemented","Partially Implemented","Largely Implemented","Fully Implemented")</f>
        <v>Largely Implemented</v>
      </c>
      <c r="I31" s="8" t="n">
        <f aca="false">G31-E31</f>
        <v>2</v>
      </c>
      <c r="J31" s="8" t="n">
        <v>3</v>
      </c>
      <c r="K31" s="8" t="n">
        <v>5</v>
      </c>
      <c r="L31" s="8" t="n">
        <f aca="false">J31*K31</f>
        <v>15</v>
      </c>
      <c r="M31" s="8" t="str">
        <f aca="false">IF(L31&gt;=15,"Critical",IF(L31&gt;=10,"High",IF(L31&gt;=5,"Medium","Low")))</f>
        <v>Critical</v>
      </c>
      <c r="N31" s="9" t="s">
        <v>186</v>
      </c>
      <c r="O31" s="9" t="s">
        <v>187</v>
      </c>
      <c r="P31" s="8" t="s">
        <v>64</v>
      </c>
      <c r="Q31" s="8" t="n">
        <v>90</v>
      </c>
    </row>
    <row r="32" customFormat="false" ht="23.85" hidden="false" customHeight="false" outlineLevel="0" collapsed="false">
      <c r="A32" s="8" t="s">
        <v>177</v>
      </c>
      <c r="B32" s="8" t="s">
        <v>178</v>
      </c>
      <c r="C32" s="8" t="s">
        <v>188</v>
      </c>
      <c r="D32" s="9" t="s">
        <v>189</v>
      </c>
      <c r="E32" s="8" t="n">
        <v>0</v>
      </c>
      <c r="F32" s="8" t="str">
        <f aca="false">CHOOSE(E32+1,"Not Implemented","Partially Implemented","Largely Implemented","Fully Implemented")</f>
        <v>Not Implemented</v>
      </c>
      <c r="G32" s="8" t="n">
        <v>1</v>
      </c>
      <c r="H32" s="8" t="str">
        <f aca="false">CHOOSE(G32+1,"Not Implemented","Partially Implemented","Largely Implemented","Fully Implemented")</f>
        <v>Partially Implemented</v>
      </c>
      <c r="I32" s="8" t="n">
        <f aca="false">G32-E32</f>
        <v>1</v>
      </c>
      <c r="J32" s="8" t="n">
        <v>3</v>
      </c>
      <c r="K32" s="8" t="n">
        <v>3</v>
      </c>
      <c r="L32" s="8" t="n">
        <f aca="false">J32*K32</f>
        <v>9</v>
      </c>
      <c r="M32" s="8" t="str">
        <f aca="false">IF(L32&gt;=15,"Critical",IF(L32&gt;=10,"High",IF(L32&gt;=5,"Medium","Low")))</f>
        <v>Medium</v>
      </c>
      <c r="N32" s="9" t="s">
        <v>190</v>
      </c>
      <c r="O32" s="9" t="s">
        <v>191</v>
      </c>
      <c r="P32" s="8" t="s">
        <v>64</v>
      </c>
      <c r="Q32" s="8" t="n">
        <v>180</v>
      </c>
    </row>
    <row r="33" customFormat="false" ht="23.85" hidden="false" customHeight="false" outlineLevel="0" collapsed="false">
      <c r="A33" s="8" t="s">
        <v>177</v>
      </c>
      <c r="B33" s="8" t="s">
        <v>192</v>
      </c>
      <c r="C33" s="8" t="s">
        <v>193</v>
      </c>
      <c r="D33" s="9" t="s">
        <v>194</v>
      </c>
      <c r="E33" s="8" t="n">
        <v>0</v>
      </c>
      <c r="F33" s="8" t="str">
        <f aca="false">CHOOSE(E33+1,"Not Implemented","Partially Implemented","Largely Implemented","Fully Implemented")</f>
        <v>Not Implemented</v>
      </c>
      <c r="G33" s="8" t="n">
        <v>1</v>
      </c>
      <c r="H33" s="8" t="str">
        <f aca="false">CHOOSE(G33+1,"Not Implemented","Partially Implemented","Largely Implemented","Fully Implemented")</f>
        <v>Partially Implemented</v>
      </c>
      <c r="I33" s="8" t="n">
        <f aca="false">G33-E33</f>
        <v>1</v>
      </c>
      <c r="J33" s="8" t="n">
        <v>2</v>
      </c>
      <c r="K33" s="8" t="n">
        <v>2</v>
      </c>
      <c r="L33" s="8" t="n">
        <f aca="false">J33*K33</f>
        <v>4</v>
      </c>
      <c r="M33" s="8" t="str">
        <f aca="false">IF(L33&gt;=15,"Critical",IF(L33&gt;=10,"High",IF(L33&gt;=5,"Medium","Low")))</f>
        <v>Low</v>
      </c>
      <c r="N33" s="9" t="s">
        <v>195</v>
      </c>
      <c r="O33" s="9" t="s">
        <v>196</v>
      </c>
      <c r="P33" s="8" t="s">
        <v>97</v>
      </c>
      <c r="Q33" s="8" t="n">
        <v>180</v>
      </c>
    </row>
    <row r="34" customFormat="false" ht="35.05" hidden="false" customHeight="false" outlineLevel="0" collapsed="false">
      <c r="A34" s="8" t="s">
        <v>197</v>
      </c>
      <c r="B34" s="8" t="s">
        <v>198</v>
      </c>
      <c r="C34" s="8" t="s">
        <v>199</v>
      </c>
      <c r="D34" s="9" t="s">
        <v>200</v>
      </c>
      <c r="E34" s="8" t="n">
        <v>0</v>
      </c>
      <c r="F34" s="8" t="str">
        <f aca="false">CHOOSE(E34+1,"Not Implemented","Partially Implemented","Largely Implemented","Fully Implemented")</f>
        <v>Not Implemented</v>
      </c>
      <c r="G34" s="8" t="n">
        <v>1</v>
      </c>
      <c r="H34" s="8" t="str">
        <f aca="false">CHOOSE(G34+1,"Not Implemented","Partially Implemented","Largely Implemented","Fully Implemented")</f>
        <v>Partially Implemented</v>
      </c>
      <c r="I34" s="8" t="n">
        <f aca="false">G34-E34</f>
        <v>1</v>
      </c>
      <c r="J34" s="8" t="n">
        <v>3</v>
      </c>
      <c r="K34" s="8" t="n">
        <v>4</v>
      </c>
      <c r="L34" s="8" t="n">
        <f aca="false">J34*K34</f>
        <v>12</v>
      </c>
      <c r="M34" s="8" t="str">
        <f aca="false">IF(L34&gt;=15,"Critical",IF(L34&gt;=10,"High",IF(L34&gt;=5,"Medium","Low")))</f>
        <v>High</v>
      </c>
      <c r="N34" s="9" t="s">
        <v>201</v>
      </c>
      <c r="O34" s="9" t="s">
        <v>202</v>
      </c>
      <c r="P34" s="8" t="s">
        <v>64</v>
      </c>
      <c r="Q34" s="8" t="n">
        <v>180</v>
      </c>
    </row>
    <row r="35" customFormat="false" ht="35.05" hidden="false" customHeight="false" outlineLevel="0" collapsed="false">
      <c r="A35" s="8" t="s">
        <v>197</v>
      </c>
      <c r="B35" s="8" t="s">
        <v>198</v>
      </c>
      <c r="C35" s="8" t="s">
        <v>203</v>
      </c>
      <c r="D35" s="9" t="s">
        <v>204</v>
      </c>
      <c r="E35" s="8" t="n">
        <v>0</v>
      </c>
      <c r="F35" s="8" t="str">
        <f aca="false">CHOOSE(E35+1,"Not Implemented","Partially Implemented","Largely Implemented","Fully Implemented")</f>
        <v>Not Implemented</v>
      </c>
      <c r="G35" s="8" t="n">
        <v>1</v>
      </c>
      <c r="H35" s="8" t="str">
        <f aca="false">CHOOSE(G35+1,"Not Implemented","Partially Implemented","Largely Implemented","Fully Implemented")</f>
        <v>Partially Implemented</v>
      </c>
      <c r="I35" s="8" t="n">
        <f aca="false">G35-E35</f>
        <v>1</v>
      </c>
      <c r="J35" s="8" t="n">
        <v>3</v>
      </c>
      <c r="K35" s="8" t="n">
        <v>3</v>
      </c>
      <c r="L35" s="8" t="n">
        <f aca="false">J35*K35</f>
        <v>9</v>
      </c>
      <c r="M35" s="8" t="str">
        <f aca="false">IF(L35&gt;=15,"Critical",IF(L35&gt;=10,"High",IF(L35&gt;=5,"Medium","Low")))</f>
        <v>Medium</v>
      </c>
      <c r="N35" s="9" t="s">
        <v>205</v>
      </c>
      <c r="O35" s="9" t="s">
        <v>206</v>
      </c>
      <c r="P35" s="8" t="s">
        <v>97</v>
      </c>
      <c r="Q35" s="8" t="n">
        <v>180</v>
      </c>
    </row>
    <row r="36" customFormat="false" ht="35.05" hidden="false" customHeight="false" outlineLevel="0" collapsed="false">
      <c r="A36" s="8" t="s">
        <v>197</v>
      </c>
      <c r="B36" s="8" t="s">
        <v>207</v>
      </c>
      <c r="C36" s="8" t="s">
        <v>208</v>
      </c>
      <c r="D36" s="9" t="s">
        <v>209</v>
      </c>
      <c r="E36" s="8" t="n">
        <v>0</v>
      </c>
      <c r="F36" s="8" t="str">
        <f aca="false">CHOOSE(E36+1,"Not Implemented","Partially Implemented","Largely Implemented","Fully Implemented")</f>
        <v>Not Implemented</v>
      </c>
      <c r="G36" s="8" t="n">
        <v>1</v>
      </c>
      <c r="H36" s="8" t="str">
        <f aca="false">CHOOSE(G36+1,"Not Implemented","Partially Implemented","Largely Implemented","Fully Implemented")</f>
        <v>Partially Implemented</v>
      </c>
      <c r="I36" s="8" t="n">
        <f aca="false">G36-E36</f>
        <v>1</v>
      </c>
      <c r="J36" s="8" t="n">
        <v>2</v>
      </c>
      <c r="K36" s="8" t="n">
        <v>2</v>
      </c>
      <c r="L36" s="8" t="n">
        <f aca="false">J36*K36</f>
        <v>4</v>
      </c>
      <c r="M36" s="8" t="str">
        <f aca="false">IF(L36&gt;=15,"Critical",IF(L36&gt;=10,"High",IF(L36&gt;=5,"Medium","Low")))</f>
        <v>Low</v>
      </c>
      <c r="N36" s="9" t="s">
        <v>210</v>
      </c>
      <c r="O36" s="9" t="s">
        <v>211</v>
      </c>
      <c r="P36" s="8" t="s">
        <v>64</v>
      </c>
      <c r="Q36" s="8" t="n">
        <v>180</v>
      </c>
    </row>
  </sheetData>
  <autoFilter ref="A1:Q36"/>
  <conditionalFormatting sqref="M2:M36">
    <cfRule type="cellIs" priority="2" operator="equal" aboveAverage="0" equalAverage="0" bottom="0" percent="0" rank="0" text="" dxfId="12">
      <formula>"Critical"</formula>
    </cfRule>
    <cfRule type="cellIs" priority="3" operator="equal" aboveAverage="0" equalAverage="0" bottom="0" percent="0" rank="0" text="" dxfId="13">
      <formula>"High"</formula>
    </cfRule>
    <cfRule type="cellIs" priority="4" operator="equal" aboveAverage="0" equalAverage="0" bottom="0" percent="0" rank="0" text="" dxfId="14">
      <formula>"Medium"</formula>
    </cfRule>
    <cfRule type="cellIs" priority="5" operator="equal" aboveAverage="0" equalAverage="0" bottom="0" percent="0" rank="0" text="" dxfId="15">
      <formula>"Low"</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6"/>
    <col collapsed="false" customWidth="true" hidden="false" outlineLevel="0" max="4" min="4" style="0" width="15"/>
    <col collapsed="false" customWidth="true" hidden="false" outlineLevel="0" max="5" min="5" style="0" width="8"/>
    <col collapsed="false" customWidth="true" hidden="false" outlineLevel="0" max="6" min="6" style="0" width="9"/>
    <col collapsed="false" customWidth="true" hidden="false" outlineLevel="0" max="7" min="7" style="0" width="8"/>
    <col collapsed="false" customWidth="true" hidden="false" outlineLevel="0" max="8" min="8" style="0" width="9"/>
    <col collapsed="false" customWidth="true" hidden="false" outlineLevel="0" max="9" min="9" style="0" width="8"/>
  </cols>
  <sheetData>
    <row r="1" customFormat="false" ht="18.55" hidden="false" customHeight="false" outlineLevel="0" collapsed="false">
      <c r="A1" s="10" t="s">
        <v>212</v>
      </c>
    </row>
    <row r="2" customFormat="false" ht="15" hidden="false" customHeight="false" outlineLevel="0" collapsed="false">
      <c r="A2" s="11" t="s">
        <v>213</v>
      </c>
    </row>
    <row r="4" customFormat="false" ht="30" hidden="false" customHeight="true" outlineLevel="0" collapsed="false">
      <c r="A4" s="7" t="s">
        <v>25</v>
      </c>
      <c r="B4" s="7" t="s">
        <v>214</v>
      </c>
      <c r="C4" s="7" t="s">
        <v>215</v>
      </c>
      <c r="D4" s="7" t="s">
        <v>216</v>
      </c>
      <c r="E4" s="7" t="s">
        <v>33</v>
      </c>
      <c r="F4" s="7" t="s">
        <v>217</v>
      </c>
      <c r="G4" s="7" t="s">
        <v>218</v>
      </c>
      <c r="H4" s="7" t="s">
        <v>219</v>
      </c>
      <c r="I4" s="7" t="s">
        <v>220</v>
      </c>
    </row>
    <row r="5" customFormat="false" ht="15" hidden="false" customHeight="false" outlineLevel="0" collapsed="false">
      <c r="A5" s="12" t="s">
        <v>42</v>
      </c>
      <c r="B5" s="13" t="n">
        <f aca="false">COUNTIF('Risk Register'!$A$2:$A$36,A5)</f>
        <v>10</v>
      </c>
      <c r="C5" s="14" t="n">
        <f aca="false">AVERAGEIF('Risk Register'!$A$2:$A$36,A5,'Risk Register'!$E$2:$E$36)</f>
        <v>0.2</v>
      </c>
      <c r="D5" s="14" t="n">
        <f aca="false">AVERAGEIF('Risk Register'!$A$2:$A$36,A5,'Risk Register'!$G$2:$G$36)</f>
        <v>1.4</v>
      </c>
      <c r="E5" s="14" t="n">
        <f aca="false">D5-C5</f>
        <v>1.2</v>
      </c>
      <c r="F5" s="13" t="n">
        <f aca="false">COUNTIFS('Risk Register'!$A$2:$A$36,A5,'Risk Register'!$M$2:$M$36,"Critical")</f>
        <v>1</v>
      </c>
      <c r="G5" s="13" t="n">
        <f aca="false">COUNTIFS('Risk Register'!$A$2:$A$36,A5,'Risk Register'!$M$2:$M$36,"High")</f>
        <v>6</v>
      </c>
      <c r="H5" s="13" t="n">
        <f aca="false">COUNTIFS('Risk Register'!$A$2:$A$36,A5,'Risk Register'!$M$2:$M$36,"Medium")</f>
        <v>2</v>
      </c>
      <c r="I5" s="13" t="n">
        <f aca="false">COUNTIFS('Risk Register'!$A$2:$A$36,A5,'Risk Register'!$M$2:$M$36,"Low")</f>
        <v>1</v>
      </c>
    </row>
    <row r="6" customFormat="false" ht="15" hidden="false" customHeight="false" outlineLevel="0" collapsed="false">
      <c r="A6" s="12" t="s">
        <v>91</v>
      </c>
      <c r="B6" s="13" t="n">
        <f aca="false">COUNTIF('Risk Register'!$A$2:$A$36,A6)</f>
        <v>7</v>
      </c>
      <c r="C6" s="14" t="n">
        <f aca="false">AVERAGEIF('Risk Register'!$A$2:$A$36,A6,'Risk Register'!$E$2:$E$36)</f>
        <v>0.142857142857143</v>
      </c>
      <c r="D6" s="14" t="n">
        <f aca="false">AVERAGEIF('Risk Register'!$A$2:$A$36,A6,'Risk Register'!$G$2:$G$36)</f>
        <v>1.42857142857143</v>
      </c>
      <c r="E6" s="14" t="n">
        <f aca="false">D6-C6</f>
        <v>1.28571428571429</v>
      </c>
      <c r="F6" s="13" t="n">
        <f aca="false">COUNTIFS('Risk Register'!$A$2:$A$36,A6,'Risk Register'!$M$2:$M$36,"Critical")</f>
        <v>2</v>
      </c>
      <c r="G6" s="13" t="n">
        <f aca="false">COUNTIFS('Risk Register'!$A$2:$A$36,A6,'Risk Register'!$M$2:$M$36,"High")</f>
        <v>1</v>
      </c>
      <c r="H6" s="13" t="n">
        <f aca="false">COUNTIFS('Risk Register'!$A$2:$A$36,A6,'Risk Register'!$M$2:$M$36,"Medium")</f>
        <v>1</v>
      </c>
      <c r="I6" s="13" t="n">
        <f aca="false">COUNTIFS('Risk Register'!$A$2:$A$36,A6,'Risk Register'!$M$2:$M$36,"Low")</f>
        <v>3</v>
      </c>
    </row>
    <row r="7" customFormat="false" ht="15" hidden="false" customHeight="false" outlineLevel="0" collapsed="false">
      <c r="A7" s="12" t="s">
        <v>124</v>
      </c>
      <c r="B7" s="13" t="n">
        <f aca="false">COUNTIF('Risk Register'!$A$2:$A$36,A7)</f>
        <v>7</v>
      </c>
      <c r="C7" s="14" t="n">
        <f aca="false">AVERAGEIF('Risk Register'!$A$2:$A$36,A7,'Risk Register'!$E$2:$E$36)</f>
        <v>0.714285714285714</v>
      </c>
      <c r="D7" s="14" t="n">
        <f aca="false">AVERAGEIF('Risk Register'!$A$2:$A$36,A7,'Risk Register'!$G$2:$G$36)</f>
        <v>2</v>
      </c>
      <c r="E7" s="14" t="n">
        <f aca="false">D7-C7</f>
        <v>1.28571428571429</v>
      </c>
      <c r="F7" s="13" t="n">
        <f aca="false">COUNTIFS('Risk Register'!$A$2:$A$36,A7,'Risk Register'!$M$2:$M$36,"Critical")</f>
        <v>4</v>
      </c>
      <c r="G7" s="13" t="n">
        <f aca="false">COUNTIFS('Risk Register'!$A$2:$A$36,A7,'Risk Register'!$M$2:$M$36,"High")</f>
        <v>1</v>
      </c>
      <c r="H7" s="13" t="n">
        <f aca="false">COUNTIFS('Risk Register'!$A$2:$A$36,A7,'Risk Register'!$M$2:$M$36,"Medium")</f>
        <v>1</v>
      </c>
      <c r="I7" s="13" t="n">
        <f aca="false">COUNTIFS('Risk Register'!$A$2:$A$36,A7,'Risk Register'!$M$2:$M$36,"Low")</f>
        <v>1</v>
      </c>
    </row>
    <row r="8" customFormat="false" ht="15" hidden="false" customHeight="false" outlineLevel="0" collapsed="false">
      <c r="A8" s="12" t="s">
        <v>158</v>
      </c>
      <c r="B8" s="13" t="n">
        <f aca="false">COUNTIF('Risk Register'!$A$2:$A$36,A8)</f>
        <v>4</v>
      </c>
      <c r="C8" s="14" t="n">
        <f aca="false">AVERAGEIF('Risk Register'!$A$2:$A$36,A8,'Risk Register'!$E$2:$E$36)</f>
        <v>0</v>
      </c>
      <c r="D8" s="14" t="n">
        <f aca="false">AVERAGEIF('Risk Register'!$A$2:$A$36,A8,'Risk Register'!$G$2:$G$36)</f>
        <v>1</v>
      </c>
      <c r="E8" s="14" t="n">
        <f aca="false">D8-C8</f>
        <v>1</v>
      </c>
      <c r="F8" s="13" t="n">
        <f aca="false">COUNTIFS('Risk Register'!$A$2:$A$36,A8,'Risk Register'!$M$2:$M$36,"Critical")</f>
        <v>1</v>
      </c>
      <c r="G8" s="13" t="n">
        <f aca="false">COUNTIFS('Risk Register'!$A$2:$A$36,A8,'Risk Register'!$M$2:$M$36,"High")</f>
        <v>0</v>
      </c>
      <c r="H8" s="13" t="n">
        <f aca="false">COUNTIFS('Risk Register'!$A$2:$A$36,A8,'Risk Register'!$M$2:$M$36,"Medium")</f>
        <v>1</v>
      </c>
      <c r="I8" s="13" t="n">
        <f aca="false">COUNTIFS('Risk Register'!$A$2:$A$36,A8,'Risk Register'!$M$2:$M$36,"Low")</f>
        <v>2</v>
      </c>
    </row>
    <row r="9" customFormat="false" ht="15" hidden="false" customHeight="false" outlineLevel="0" collapsed="false">
      <c r="A9" s="12" t="s">
        <v>177</v>
      </c>
      <c r="B9" s="13" t="n">
        <f aca="false">COUNTIF('Risk Register'!$A$2:$A$36,A9)</f>
        <v>4</v>
      </c>
      <c r="C9" s="14" t="n">
        <f aca="false">AVERAGEIF('Risk Register'!$A$2:$A$36,A9,'Risk Register'!$E$2:$E$36)</f>
        <v>0</v>
      </c>
      <c r="D9" s="14" t="n">
        <f aca="false">AVERAGEIF('Risk Register'!$A$2:$A$36,A9,'Risk Register'!$G$2:$G$36)</f>
        <v>1.5</v>
      </c>
      <c r="E9" s="14" t="n">
        <f aca="false">D9-C9</f>
        <v>1.5</v>
      </c>
      <c r="F9" s="13" t="n">
        <f aca="false">COUNTIFS('Risk Register'!$A$2:$A$36,A9,'Risk Register'!$M$2:$M$36,"Critical")</f>
        <v>2</v>
      </c>
      <c r="G9" s="13" t="n">
        <f aca="false">COUNTIFS('Risk Register'!$A$2:$A$36,A9,'Risk Register'!$M$2:$M$36,"High")</f>
        <v>0</v>
      </c>
      <c r="H9" s="13" t="n">
        <f aca="false">COUNTIFS('Risk Register'!$A$2:$A$36,A9,'Risk Register'!$M$2:$M$36,"Medium")</f>
        <v>1</v>
      </c>
      <c r="I9" s="13" t="n">
        <f aca="false">COUNTIFS('Risk Register'!$A$2:$A$36,A9,'Risk Register'!$M$2:$M$36,"Low")</f>
        <v>1</v>
      </c>
    </row>
    <row r="10" customFormat="false" ht="15" hidden="false" customHeight="false" outlineLevel="0" collapsed="false">
      <c r="A10" s="12" t="s">
        <v>197</v>
      </c>
      <c r="B10" s="13" t="n">
        <f aca="false">COUNTIF('Risk Register'!$A$2:$A$36,A10)</f>
        <v>3</v>
      </c>
      <c r="C10" s="14" t="n">
        <f aca="false">AVERAGEIF('Risk Register'!$A$2:$A$36,A10,'Risk Register'!$E$2:$E$36)</f>
        <v>0</v>
      </c>
      <c r="D10" s="14" t="n">
        <f aca="false">AVERAGEIF('Risk Register'!$A$2:$A$36,A10,'Risk Register'!$G$2:$G$36)</f>
        <v>1</v>
      </c>
      <c r="E10" s="14" t="n">
        <f aca="false">D10-C10</f>
        <v>1</v>
      </c>
      <c r="F10" s="13" t="n">
        <f aca="false">COUNTIFS('Risk Register'!$A$2:$A$36,A10,'Risk Register'!$M$2:$M$36,"Critical")</f>
        <v>0</v>
      </c>
      <c r="G10" s="13" t="n">
        <f aca="false">COUNTIFS('Risk Register'!$A$2:$A$36,A10,'Risk Register'!$M$2:$M$36,"High")</f>
        <v>1</v>
      </c>
      <c r="H10" s="13" t="n">
        <f aca="false">COUNTIFS('Risk Register'!$A$2:$A$36,A10,'Risk Register'!$M$2:$M$36,"Medium")</f>
        <v>1</v>
      </c>
      <c r="I10" s="13" t="n">
        <f aca="false">COUNTIFS('Risk Register'!$A$2:$A$36,A10,'Risk Register'!$M$2:$M$36,"Low")</f>
        <v>1</v>
      </c>
    </row>
    <row r="11" customFormat="false" ht="15" hidden="false" customHeight="false" outlineLevel="0" collapsed="false">
      <c r="A11" s="15" t="s">
        <v>221</v>
      </c>
      <c r="B11" s="16" t="n">
        <f aca="false">SUM(B5:B10)</f>
        <v>35</v>
      </c>
      <c r="C11" s="17" t="n">
        <f aca="false">AVERAGE('Risk Register'!$E$2:$E$36)</f>
        <v>0.228571428571429</v>
      </c>
      <c r="D11" s="17" t="n">
        <f aca="false">AVERAGE('Risk Register'!$G$2:$G$36)</f>
        <v>1.45714285714286</v>
      </c>
      <c r="E11" s="17" t="n">
        <f aca="false">D11-C11</f>
        <v>1.22857142857143</v>
      </c>
      <c r="F11" s="16" t="n">
        <f aca="false">SUM(F5:F10)</f>
        <v>10</v>
      </c>
      <c r="G11" s="16" t="n">
        <f aca="false">SUM(G5:G10)</f>
        <v>9</v>
      </c>
      <c r="H11" s="16" t="n">
        <f aca="false">SUM(H5:H10)</f>
        <v>7</v>
      </c>
      <c r="I11" s="16" t="n">
        <f aca="false">SUM(I5:I10)</f>
        <v>9</v>
      </c>
    </row>
    <row r="13" customFormat="false" ht="15" hidden="false" customHeight="false" outlineLevel="0" collapsed="false">
      <c r="A13" s="11" t="s">
        <v>222</v>
      </c>
    </row>
  </sheetData>
  <conditionalFormatting sqref="E5:E10">
    <cfRule type="colorScale" priority="2">
      <colorScale>
        <cfvo type="min" val="0"/>
        <cfvo type="max" val="0"/>
        <color rgb="FFDCF2E3"/>
        <color rgb="FFF9D6D2"/>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50"/>
    <col collapsed="false" customWidth="true" hidden="false" outlineLevel="0" max="4" min="4" style="0" width="12"/>
    <col collapsed="false" customWidth="true" hidden="false" outlineLevel="0" max="5" min="5" style="0" width="10"/>
  </cols>
  <sheetData>
    <row r="1" customFormat="false" ht="18.55" hidden="false" customHeight="false" outlineLevel="0" collapsed="false">
      <c r="A1" s="10" t="s">
        <v>223</v>
      </c>
    </row>
    <row r="2" customFormat="false" ht="15" hidden="false" customHeight="false" outlineLevel="0" collapsed="false">
      <c r="A2" s="11" t="s">
        <v>224</v>
      </c>
    </row>
    <row r="4" customFormat="false" ht="21.75" hidden="false" customHeight="true" outlineLevel="0" collapsed="false">
      <c r="A4" s="18" t="s">
        <v>225</v>
      </c>
      <c r="B4" s="18"/>
      <c r="C4" s="18"/>
      <c r="D4" s="18"/>
      <c r="E4" s="18"/>
    </row>
    <row r="5" customFormat="false" ht="15" hidden="false" customHeight="false" outlineLevel="0" collapsed="false">
      <c r="A5" s="19" t="s">
        <v>25</v>
      </c>
      <c r="B5" s="19" t="s">
        <v>226</v>
      </c>
      <c r="C5" s="19" t="s">
        <v>39</v>
      </c>
      <c r="D5" s="19" t="s">
        <v>40</v>
      </c>
      <c r="E5" s="19" t="s">
        <v>37</v>
      </c>
    </row>
    <row r="6" customFormat="false" ht="23.85" hidden="false" customHeight="false" outlineLevel="0" collapsed="false">
      <c r="A6" s="20" t="s">
        <v>42</v>
      </c>
      <c r="B6" s="20" t="s">
        <v>44</v>
      </c>
      <c r="C6" s="21" t="s">
        <v>47</v>
      </c>
      <c r="D6" s="20" t="s">
        <v>48</v>
      </c>
      <c r="E6" s="20" t="s">
        <v>218</v>
      </c>
    </row>
    <row r="7" customFormat="false" ht="23.85" hidden="false" customHeight="false" outlineLevel="0" collapsed="false">
      <c r="A7" s="20" t="s">
        <v>42</v>
      </c>
      <c r="B7" s="20" t="s">
        <v>50</v>
      </c>
      <c r="C7" s="21" t="s">
        <v>53</v>
      </c>
      <c r="D7" s="20" t="s">
        <v>48</v>
      </c>
      <c r="E7" s="20" t="s">
        <v>218</v>
      </c>
    </row>
    <row r="8" customFormat="false" ht="23.85" hidden="false" customHeight="false" outlineLevel="0" collapsed="false">
      <c r="A8" s="20" t="s">
        <v>42</v>
      </c>
      <c r="B8" s="20" t="s">
        <v>55</v>
      </c>
      <c r="C8" s="21" t="s">
        <v>58</v>
      </c>
      <c r="D8" s="20" t="s">
        <v>48</v>
      </c>
      <c r="E8" s="20" t="s">
        <v>218</v>
      </c>
    </row>
    <row r="9" customFormat="false" ht="15" hidden="false" customHeight="false" outlineLevel="0" collapsed="false">
      <c r="A9" s="20" t="s">
        <v>42</v>
      </c>
      <c r="B9" s="20" t="s">
        <v>60</v>
      </c>
      <c r="C9" s="21" t="s">
        <v>63</v>
      </c>
      <c r="D9" s="20" t="s">
        <v>64</v>
      </c>
      <c r="E9" s="20" t="s">
        <v>217</v>
      </c>
    </row>
    <row r="10" customFormat="false" ht="15" hidden="false" customHeight="false" outlineLevel="0" collapsed="false">
      <c r="A10" s="20" t="s">
        <v>91</v>
      </c>
      <c r="B10" s="20" t="s">
        <v>98</v>
      </c>
      <c r="C10" s="21" t="s">
        <v>101</v>
      </c>
      <c r="D10" s="20" t="s">
        <v>64</v>
      </c>
      <c r="E10" s="20" t="s">
        <v>219</v>
      </c>
    </row>
    <row r="11" customFormat="false" ht="15" hidden="false" customHeight="false" outlineLevel="0" collapsed="false">
      <c r="A11" s="20" t="s">
        <v>91</v>
      </c>
      <c r="B11" s="20" t="s">
        <v>102</v>
      </c>
      <c r="C11" s="21" t="s">
        <v>105</v>
      </c>
      <c r="D11" s="20" t="s">
        <v>64</v>
      </c>
      <c r="E11" s="20" t="s">
        <v>217</v>
      </c>
    </row>
    <row r="12" customFormat="false" ht="23.85" hidden="false" customHeight="false" outlineLevel="0" collapsed="false">
      <c r="A12" s="20" t="s">
        <v>124</v>
      </c>
      <c r="B12" s="20" t="s">
        <v>126</v>
      </c>
      <c r="C12" s="21" t="s">
        <v>129</v>
      </c>
      <c r="D12" s="20" t="s">
        <v>64</v>
      </c>
      <c r="E12" s="20" t="s">
        <v>218</v>
      </c>
    </row>
    <row r="13" customFormat="false" ht="15" hidden="false" customHeight="false" outlineLevel="0" collapsed="false">
      <c r="A13" s="20" t="s">
        <v>124</v>
      </c>
      <c r="B13" s="20" t="s">
        <v>130</v>
      </c>
      <c r="C13" s="21" t="s">
        <v>133</v>
      </c>
      <c r="D13" s="20" t="s">
        <v>97</v>
      </c>
      <c r="E13" s="20" t="s">
        <v>217</v>
      </c>
    </row>
    <row r="15" customFormat="false" ht="21.75" hidden="false" customHeight="true" outlineLevel="0" collapsed="false">
      <c r="A15" s="22" t="s">
        <v>227</v>
      </c>
      <c r="B15" s="22"/>
      <c r="C15" s="22"/>
      <c r="D15" s="22"/>
      <c r="E15" s="22"/>
    </row>
    <row r="16" customFormat="false" ht="15" hidden="false" customHeight="false" outlineLevel="0" collapsed="false">
      <c r="A16" s="19" t="s">
        <v>25</v>
      </c>
      <c r="B16" s="19" t="s">
        <v>226</v>
      </c>
      <c r="C16" s="19" t="s">
        <v>39</v>
      </c>
      <c r="D16" s="19" t="s">
        <v>40</v>
      </c>
      <c r="E16" s="19" t="s">
        <v>37</v>
      </c>
    </row>
    <row r="17" customFormat="false" ht="23.85" hidden="false" customHeight="false" outlineLevel="0" collapsed="false">
      <c r="A17" s="20" t="s">
        <v>42</v>
      </c>
      <c r="B17" s="20" t="s">
        <v>65</v>
      </c>
      <c r="C17" s="21" t="s">
        <v>68</v>
      </c>
      <c r="D17" s="20" t="s">
        <v>64</v>
      </c>
      <c r="E17" s="20" t="s">
        <v>218</v>
      </c>
    </row>
    <row r="18" customFormat="false" ht="23.85" hidden="false" customHeight="false" outlineLevel="0" collapsed="false">
      <c r="A18" s="20" t="s">
        <v>42</v>
      </c>
      <c r="B18" s="20" t="s">
        <v>70</v>
      </c>
      <c r="C18" s="21" t="s">
        <v>73</v>
      </c>
      <c r="D18" s="20" t="s">
        <v>48</v>
      </c>
      <c r="E18" s="20" t="s">
        <v>218</v>
      </c>
    </row>
    <row r="19" customFormat="false" ht="15" hidden="false" customHeight="false" outlineLevel="0" collapsed="false">
      <c r="A19" s="20" t="s">
        <v>42</v>
      </c>
      <c r="B19" s="20" t="s">
        <v>74</v>
      </c>
      <c r="C19" s="21" t="s">
        <v>77</v>
      </c>
      <c r="D19" s="20" t="s">
        <v>64</v>
      </c>
      <c r="E19" s="20" t="s">
        <v>218</v>
      </c>
    </row>
    <row r="20" customFormat="false" ht="15" hidden="false" customHeight="false" outlineLevel="0" collapsed="false">
      <c r="A20" s="20" t="s">
        <v>91</v>
      </c>
      <c r="B20" s="20" t="s">
        <v>93</v>
      </c>
      <c r="C20" s="21" t="s">
        <v>96</v>
      </c>
      <c r="D20" s="20" t="s">
        <v>97</v>
      </c>
      <c r="E20" s="20" t="s">
        <v>218</v>
      </c>
    </row>
    <row r="21" customFormat="false" ht="23.85" hidden="false" customHeight="false" outlineLevel="0" collapsed="false">
      <c r="A21" s="20" t="s">
        <v>91</v>
      </c>
      <c r="B21" s="20" t="s">
        <v>107</v>
      </c>
      <c r="C21" s="21" t="s">
        <v>110</v>
      </c>
      <c r="D21" s="20" t="s">
        <v>97</v>
      </c>
      <c r="E21" s="20" t="s">
        <v>217</v>
      </c>
    </row>
    <row r="22" customFormat="false" ht="15" hidden="false" customHeight="false" outlineLevel="0" collapsed="false">
      <c r="A22" s="20" t="s">
        <v>124</v>
      </c>
      <c r="B22" s="20" t="s">
        <v>135</v>
      </c>
      <c r="C22" s="21" t="s">
        <v>138</v>
      </c>
      <c r="D22" s="20" t="s">
        <v>64</v>
      </c>
      <c r="E22" s="20" t="s">
        <v>217</v>
      </c>
    </row>
    <row r="23" customFormat="false" ht="23.85" hidden="false" customHeight="false" outlineLevel="0" collapsed="false">
      <c r="A23" s="20" t="s">
        <v>124</v>
      </c>
      <c r="B23" s="20" t="s">
        <v>140</v>
      </c>
      <c r="C23" s="21" t="s">
        <v>143</v>
      </c>
      <c r="D23" s="20" t="s">
        <v>97</v>
      </c>
      <c r="E23" s="20" t="s">
        <v>217</v>
      </c>
    </row>
    <row r="24" customFormat="false" ht="23.85" hidden="false" customHeight="false" outlineLevel="0" collapsed="false">
      <c r="A24" s="20" t="s">
        <v>124</v>
      </c>
      <c r="B24" s="20" t="s">
        <v>145</v>
      </c>
      <c r="C24" s="21" t="s">
        <v>148</v>
      </c>
      <c r="D24" s="20" t="s">
        <v>97</v>
      </c>
      <c r="E24" s="20" t="s">
        <v>217</v>
      </c>
    </row>
    <row r="25" customFormat="false" ht="23.85" hidden="false" customHeight="false" outlineLevel="0" collapsed="false">
      <c r="A25" s="20" t="s">
        <v>124</v>
      </c>
      <c r="B25" s="20" t="s">
        <v>149</v>
      </c>
      <c r="C25" s="21" t="s">
        <v>152</v>
      </c>
      <c r="D25" s="20" t="s">
        <v>97</v>
      </c>
      <c r="E25" s="20" t="s">
        <v>219</v>
      </c>
    </row>
    <row r="26" customFormat="false" ht="23.85" hidden="false" customHeight="false" outlineLevel="0" collapsed="false">
      <c r="A26" s="20" t="s">
        <v>158</v>
      </c>
      <c r="B26" s="20" t="s">
        <v>160</v>
      </c>
      <c r="C26" s="21" t="s">
        <v>163</v>
      </c>
      <c r="D26" s="20" t="s">
        <v>97</v>
      </c>
      <c r="E26" s="20" t="s">
        <v>217</v>
      </c>
    </row>
    <row r="27" customFormat="false" ht="15" hidden="false" customHeight="false" outlineLevel="0" collapsed="false">
      <c r="A27" s="20" t="s">
        <v>177</v>
      </c>
      <c r="B27" s="20" t="s">
        <v>179</v>
      </c>
      <c r="C27" s="21" t="s">
        <v>182</v>
      </c>
      <c r="D27" s="20" t="s">
        <v>64</v>
      </c>
      <c r="E27" s="20" t="s">
        <v>217</v>
      </c>
    </row>
    <row r="28" customFormat="false" ht="23.85" hidden="false" customHeight="false" outlineLevel="0" collapsed="false">
      <c r="A28" s="20" t="s">
        <v>177</v>
      </c>
      <c r="B28" s="20" t="s">
        <v>184</v>
      </c>
      <c r="C28" s="21" t="s">
        <v>187</v>
      </c>
      <c r="D28" s="20" t="s">
        <v>64</v>
      </c>
      <c r="E28" s="20" t="s">
        <v>217</v>
      </c>
    </row>
    <row r="30" customFormat="false" ht="21.75" hidden="false" customHeight="true" outlineLevel="0" collapsed="false">
      <c r="A30" s="23" t="s">
        <v>228</v>
      </c>
      <c r="B30" s="23"/>
      <c r="C30" s="23"/>
      <c r="D30" s="23"/>
      <c r="E30" s="23"/>
    </row>
    <row r="31" customFormat="false" ht="15" hidden="false" customHeight="false" outlineLevel="0" collapsed="false">
      <c r="A31" s="19" t="s">
        <v>25</v>
      </c>
      <c r="B31" s="19" t="s">
        <v>226</v>
      </c>
      <c r="C31" s="19" t="s">
        <v>39</v>
      </c>
      <c r="D31" s="19" t="s">
        <v>40</v>
      </c>
      <c r="E31" s="19" t="s">
        <v>37</v>
      </c>
    </row>
    <row r="32" customFormat="false" ht="23.85" hidden="false" customHeight="false" outlineLevel="0" collapsed="false">
      <c r="A32" s="20" t="s">
        <v>42</v>
      </c>
      <c r="B32" s="20" t="s">
        <v>78</v>
      </c>
      <c r="C32" s="21" t="s">
        <v>81</v>
      </c>
      <c r="D32" s="20" t="s">
        <v>48</v>
      </c>
      <c r="E32" s="20" t="s">
        <v>219</v>
      </c>
    </row>
    <row r="33" customFormat="false" ht="23.85" hidden="false" customHeight="false" outlineLevel="0" collapsed="false">
      <c r="A33" s="20" t="s">
        <v>42</v>
      </c>
      <c r="B33" s="20" t="s">
        <v>83</v>
      </c>
      <c r="C33" s="21" t="s">
        <v>86</v>
      </c>
      <c r="D33" s="20" t="s">
        <v>48</v>
      </c>
      <c r="E33" s="20" t="s">
        <v>219</v>
      </c>
    </row>
    <row r="34" customFormat="false" ht="23.85" hidden="false" customHeight="false" outlineLevel="0" collapsed="false">
      <c r="A34" s="20" t="s">
        <v>42</v>
      </c>
      <c r="B34" s="20" t="s">
        <v>87</v>
      </c>
      <c r="C34" s="21" t="s">
        <v>90</v>
      </c>
      <c r="D34" s="20" t="s">
        <v>64</v>
      </c>
      <c r="E34" s="20" t="s">
        <v>220</v>
      </c>
    </row>
    <row r="35" customFormat="false" ht="23.85" hidden="false" customHeight="false" outlineLevel="0" collapsed="false">
      <c r="A35" s="20" t="s">
        <v>91</v>
      </c>
      <c r="B35" s="20" t="s">
        <v>111</v>
      </c>
      <c r="C35" s="21" t="s">
        <v>114</v>
      </c>
      <c r="D35" s="20" t="s">
        <v>64</v>
      </c>
      <c r="E35" s="20" t="s">
        <v>220</v>
      </c>
    </row>
    <row r="36" customFormat="false" ht="23.85" hidden="false" customHeight="false" outlineLevel="0" collapsed="false">
      <c r="A36" s="20" t="s">
        <v>91</v>
      </c>
      <c r="B36" s="20" t="s">
        <v>115</v>
      </c>
      <c r="C36" s="21" t="s">
        <v>118</v>
      </c>
      <c r="D36" s="20" t="s">
        <v>64</v>
      </c>
      <c r="E36" s="20" t="s">
        <v>220</v>
      </c>
    </row>
    <row r="37" customFormat="false" ht="23.85" hidden="false" customHeight="false" outlineLevel="0" collapsed="false">
      <c r="A37" s="20" t="s">
        <v>91</v>
      </c>
      <c r="B37" s="20" t="s">
        <v>120</v>
      </c>
      <c r="C37" s="21" t="s">
        <v>123</v>
      </c>
      <c r="D37" s="20" t="s">
        <v>64</v>
      </c>
      <c r="E37" s="20" t="s">
        <v>220</v>
      </c>
    </row>
    <row r="38" customFormat="false" ht="23.85" hidden="false" customHeight="false" outlineLevel="0" collapsed="false">
      <c r="A38" s="20" t="s">
        <v>124</v>
      </c>
      <c r="B38" s="20" t="s">
        <v>154</v>
      </c>
      <c r="C38" s="21" t="s">
        <v>157</v>
      </c>
      <c r="D38" s="20" t="s">
        <v>97</v>
      </c>
      <c r="E38" s="20" t="s">
        <v>220</v>
      </c>
    </row>
    <row r="39" customFormat="false" ht="23.85" hidden="false" customHeight="false" outlineLevel="0" collapsed="false">
      <c r="A39" s="20" t="s">
        <v>158</v>
      </c>
      <c r="B39" s="20" t="s">
        <v>164</v>
      </c>
      <c r="C39" s="21" t="s">
        <v>167</v>
      </c>
      <c r="D39" s="20" t="s">
        <v>97</v>
      </c>
      <c r="E39" s="20" t="s">
        <v>219</v>
      </c>
    </row>
    <row r="40" customFormat="false" ht="23.85" hidden="false" customHeight="false" outlineLevel="0" collapsed="false">
      <c r="A40" s="20" t="s">
        <v>158</v>
      </c>
      <c r="B40" s="20" t="s">
        <v>169</v>
      </c>
      <c r="C40" s="21" t="s">
        <v>172</v>
      </c>
      <c r="D40" s="20" t="s">
        <v>97</v>
      </c>
      <c r="E40" s="20" t="s">
        <v>220</v>
      </c>
    </row>
    <row r="41" customFormat="false" ht="23.85" hidden="false" customHeight="false" outlineLevel="0" collapsed="false">
      <c r="A41" s="20" t="s">
        <v>158</v>
      </c>
      <c r="B41" s="20" t="s">
        <v>173</v>
      </c>
      <c r="C41" s="21" t="s">
        <v>176</v>
      </c>
      <c r="D41" s="20" t="s">
        <v>97</v>
      </c>
      <c r="E41" s="20" t="s">
        <v>220</v>
      </c>
    </row>
    <row r="42" customFormat="false" ht="23.85" hidden="false" customHeight="false" outlineLevel="0" collapsed="false">
      <c r="A42" s="20" t="s">
        <v>177</v>
      </c>
      <c r="B42" s="20" t="s">
        <v>188</v>
      </c>
      <c r="C42" s="21" t="s">
        <v>191</v>
      </c>
      <c r="D42" s="20" t="s">
        <v>64</v>
      </c>
      <c r="E42" s="20" t="s">
        <v>219</v>
      </c>
    </row>
    <row r="43" customFormat="false" ht="23.85" hidden="false" customHeight="false" outlineLevel="0" collapsed="false">
      <c r="A43" s="20" t="s">
        <v>177</v>
      </c>
      <c r="B43" s="20" t="s">
        <v>193</v>
      </c>
      <c r="C43" s="21" t="s">
        <v>196</v>
      </c>
      <c r="D43" s="20" t="s">
        <v>97</v>
      </c>
      <c r="E43" s="20" t="s">
        <v>220</v>
      </c>
    </row>
    <row r="44" customFormat="false" ht="23.85" hidden="false" customHeight="false" outlineLevel="0" collapsed="false">
      <c r="A44" s="20" t="s">
        <v>197</v>
      </c>
      <c r="B44" s="20" t="s">
        <v>199</v>
      </c>
      <c r="C44" s="21" t="s">
        <v>202</v>
      </c>
      <c r="D44" s="20" t="s">
        <v>64</v>
      </c>
      <c r="E44" s="20" t="s">
        <v>218</v>
      </c>
    </row>
    <row r="45" customFormat="false" ht="23.85" hidden="false" customHeight="false" outlineLevel="0" collapsed="false">
      <c r="A45" s="20" t="s">
        <v>197</v>
      </c>
      <c r="B45" s="20" t="s">
        <v>203</v>
      </c>
      <c r="C45" s="21" t="s">
        <v>206</v>
      </c>
      <c r="D45" s="20" t="s">
        <v>97</v>
      </c>
      <c r="E45" s="20" t="s">
        <v>219</v>
      </c>
    </row>
    <row r="46" customFormat="false" ht="15" hidden="false" customHeight="false" outlineLevel="0" collapsed="false">
      <c r="A46" s="20" t="s">
        <v>197</v>
      </c>
      <c r="B46" s="20" t="s">
        <v>208</v>
      </c>
      <c r="C46" s="21" t="s">
        <v>211</v>
      </c>
      <c r="D46" s="20" t="s">
        <v>64</v>
      </c>
      <c r="E46" s="20" t="s">
        <v>220</v>
      </c>
    </row>
  </sheetData>
  <mergeCells count="3">
    <mergeCell ref="A4:E4"/>
    <mergeCell ref="A15:E15"/>
    <mergeCell ref="A30:E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2026-08-07T21:28:37Z</dcterms:created>
  <dc:creator>openpyxl</dc:creator>
  <dc:description/>
  <dc:language>en-US</dc:language>
  <cp:lastModifiedBy/>
  <dcterms:modified xsi:type="dcterms:W3CDTF">2026-08-07T21:28:37Z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